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MarioD\Desktop\"/>
    </mc:Choice>
  </mc:AlternateContent>
  <xr:revisionPtr revIDLastSave="0" documentId="13_ncr:1_{58195FC9-239B-4E70-85CE-F06EB75EE7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Hoja1!$A$1:$F$35</definedName>
  </definedNames>
  <calcPr calcId="191029"/>
</workbook>
</file>

<file path=xl/calcChain.xml><?xml version="1.0" encoding="utf-8"?>
<calcChain xmlns="http://schemas.openxmlformats.org/spreadsheetml/2006/main">
  <c r="H16" i="1" l="1"/>
  <c r="F15" i="1" l="1"/>
  <c r="F22" i="1" l="1"/>
  <c r="F29" i="1" s="1"/>
</calcChain>
</file>

<file path=xl/sharedStrings.xml><?xml version="1.0" encoding="utf-8"?>
<sst xmlns="http://schemas.openxmlformats.org/spreadsheetml/2006/main" count="68" uniqueCount="68">
  <si>
    <t>Ministerio de Finanzas y Precios</t>
  </si>
  <si>
    <t>ESTADOS FINANCIEROS</t>
  </si>
  <si>
    <t>ESTADO DE GASTOS POR ELEMENTOS</t>
  </si>
  <si>
    <t>Página 1 de 1 (5924-04)</t>
  </si>
  <si>
    <r>
      <rPr>
        <b/>
        <sz val="12"/>
        <color theme="1"/>
        <rFont val="Gotham Office"/>
        <charset val="134"/>
      </rPr>
      <t>UNIDAD DE MEDIDA:</t>
    </r>
    <r>
      <rPr>
        <sz val="12"/>
        <color theme="1"/>
        <rFont val="Gotham Office"/>
        <charset val="134"/>
      </rPr>
      <t xml:space="preserve"> Peso cubano con dos decimales</t>
    </r>
  </si>
  <si>
    <t>Código Entidad</t>
  </si>
  <si>
    <t>N.A.E</t>
  </si>
  <si>
    <t>D.P.A</t>
  </si>
  <si>
    <t xml:space="preserve">Org.               Sub.           </t>
  </si>
  <si>
    <t>CÓDIGO</t>
  </si>
  <si>
    <t xml:space="preserve">DIVISIÓN </t>
  </si>
  <si>
    <t>CLASE</t>
  </si>
  <si>
    <t>PROVINCIA</t>
  </si>
  <si>
    <t>MUNICIPIO</t>
  </si>
  <si>
    <t>CONCEPTO</t>
  </si>
  <si>
    <t>Fila</t>
  </si>
  <si>
    <t>N</t>
  </si>
  <si>
    <t>Plan del Año</t>
  </si>
  <si>
    <t>Plan hasta la fecha</t>
  </si>
  <si>
    <t>Real hasta la fecha</t>
  </si>
  <si>
    <t>(A)</t>
  </si>
  <si>
    <t>(B)</t>
  </si>
  <si>
    <t>(C)</t>
  </si>
  <si>
    <t>(1)</t>
  </si>
  <si>
    <t>(2)</t>
  </si>
  <si>
    <t>(3)</t>
  </si>
  <si>
    <t>Materias primas y materiales</t>
  </si>
  <si>
    <t>01</t>
  </si>
  <si>
    <t>Combustibles y lubricantes</t>
  </si>
  <si>
    <t>02</t>
  </si>
  <si>
    <t xml:space="preserve">Energía </t>
  </si>
  <si>
    <t>03</t>
  </si>
  <si>
    <t>Salarios</t>
  </si>
  <si>
    <t>04</t>
  </si>
  <si>
    <t xml:space="preserve">De ellos: Salario escala </t>
  </si>
  <si>
    <t>05</t>
  </si>
  <si>
    <t xml:space="preserve">        Pagos adicionales del perfeccionamiento empresarial </t>
  </si>
  <si>
    <t>06</t>
  </si>
  <si>
    <t xml:space="preserve">        Otros pagos adicionales</t>
  </si>
  <si>
    <t>07</t>
  </si>
  <si>
    <t xml:space="preserve">        Pago por resultados </t>
  </si>
  <si>
    <t>08</t>
  </si>
  <si>
    <t xml:space="preserve">        Acumulación de vacaciones</t>
  </si>
  <si>
    <t>09</t>
  </si>
  <si>
    <t xml:space="preserve">Depreciación y amortización </t>
  </si>
  <si>
    <t>10</t>
  </si>
  <si>
    <t>Otros gastos monetarios</t>
  </si>
  <si>
    <t>11</t>
  </si>
  <si>
    <t>De ellos: Servicios comprados entre entidades</t>
  </si>
  <si>
    <t>12</t>
  </si>
  <si>
    <t xml:space="preserve">        Servicios de mantenimientos y reparación constructivos</t>
  </si>
  <si>
    <t>13</t>
  </si>
  <si>
    <t xml:space="preserve">        Reparación y mantenimiento de viales</t>
  </si>
  <si>
    <t>14</t>
  </si>
  <si>
    <t xml:space="preserve">        Otros servicios de mantenimiento y reparaciones corrientes</t>
  </si>
  <si>
    <t>15</t>
  </si>
  <si>
    <t xml:space="preserve">        Gastos por importación de servicios</t>
  </si>
  <si>
    <t>16</t>
  </si>
  <si>
    <t xml:space="preserve">        Viáticos</t>
  </si>
  <si>
    <t>17</t>
  </si>
  <si>
    <t>TOTAL DE GASTOS POR ELEMENTOS</t>
  </si>
  <si>
    <t>18</t>
  </si>
  <si>
    <t xml:space="preserve">Certificamos que los datos contenidos en este estado financiero se corresponden con las anotaciones contables de acuerdo con las regulaciones vigentes </t>
  </si>
  <si>
    <t xml:space="preserve">Aprobado por: </t>
  </si>
  <si>
    <t xml:space="preserve">Fecha: </t>
  </si>
  <si>
    <t>Elaborado por:           Frank Lamas Brito</t>
  </si>
  <si>
    <t xml:space="preserve">INFORME ACUMULADO HASTA: </t>
  </si>
  <si>
    <t xml:space="preserve">Entidad: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</si>
</sst>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6">
    <font>
      <sz val="11"/>
      <color theme="1"/>
      <name val="Calibri"/>
      <charset val="134"/>
      <scheme val="minor"/>
    </font>
    <font>
      <sz val="12"/>
      <color theme="1"/>
      <name val="Gotham Office"/>
      <charset val="134"/>
    </font>
    <font>
      <b/>
      <sz val="12"/>
      <color theme="1"/>
      <name val="Gotham Office"/>
      <charset val="134"/>
    </font>
    <font>
      <sz val="12"/>
      <color rgb="FF212529"/>
      <name val="Segoe UI"/>
      <family val="2"/>
    </font>
    <font>
      <sz val="12"/>
      <color rgb="FF212529"/>
      <name val="Segoe U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1" applyFont="1" applyBorder="1"/>
    <xf numFmtId="164" fontId="1" fillId="0" borderId="1" xfId="1" applyFont="1" applyBorder="1"/>
    <xf numFmtId="4" fontId="3" fillId="0" borderId="0" xfId="0" applyNumberFormat="1" applyFont="1"/>
    <xf numFmtId="4" fontId="1" fillId="0" borderId="0" xfId="0" applyNumberFormat="1" applyFont="1"/>
    <xf numFmtId="4" fontId="4" fillId="0" borderId="0" xfId="0" applyNumberFormat="1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1211580</xdr:colOff>
      <xdr:row>0</xdr:row>
      <xdr:rowOff>76201</xdr:rowOff>
    </xdr:from>
    <xdr:ext cx="609600" cy="69369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80" y="76200"/>
          <a:ext cx="609600" cy="693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view="pageBreakPreview" topLeftCell="A22" zoomScaleNormal="100" zoomScaleSheetLayoutView="100" workbookViewId="0">
      <selection activeCell="F36" sqref="F36"/>
    </sheetView>
  </sheetViews>
  <sheetFormatPr defaultColWidth="11.5703125" defaultRowHeight="14.25"/>
  <cols>
    <col min="1" max="1" width="44.28515625" style="3" customWidth="1"/>
    <col min="2" max="3" width="11.5703125" style="4"/>
    <col min="4" max="4" width="16" style="4" customWidth="1"/>
    <col min="5" max="5" width="15.140625" style="4" customWidth="1"/>
    <col min="6" max="6" width="31.28515625" style="4" customWidth="1"/>
    <col min="7" max="7" width="11.5703125" style="4"/>
    <col min="8" max="9" width="15" style="4" customWidth="1"/>
    <col min="10" max="16384" width="11.5703125" style="4"/>
  </cols>
  <sheetData>
    <row r="1" spans="1:9">
      <c r="A1" s="20" t="s">
        <v>0</v>
      </c>
      <c r="B1" s="22" t="s">
        <v>1</v>
      </c>
      <c r="C1" s="22"/>
      <c r="D1" s="22" t="s">
        <v>2</v>
      </c>
      <c r="E1" s="22"/>
      <c r="F1" s="22" t="s">
        <v>3</v>
      </c>
    </row>
    <row r="2" spans="1:9">
      <c r="A2" s="20"/>
      <c r="B2" s="22"/>
      <c r="C2" s="22"/>
      <c r="D2" s="22"/>
      <c r="E2" s="22"/>
      <c r="F2" s="22"/>
    </row>
    <row r="3" spans="1:9">
      <c r="A3" s="20"/>
      <c r="B3" s="22"/>
      <c r="C3" s="22"/>
      <c r="D3" s="22"/>
      <c r="E3" s="22"/>
      <c r="F3" s="22"/>
    </row>
    <row r="4" spans="1:9" ht="36" customHeight="1">
      <c r="A4" s="20"/>
      <c r="B4" s="22"/>
      <c r="C4" s="22"/>
      <c r="D4" s="22"/>
      <c r="E4" s="22"/>
      <c r="F4" s="22"/>
    </row>
    <row r="5" spans="1:9" ht="67.150000000000006" customHeight="1">
      <c r="A5" s="24" t="s">
        <v>66</v>
      </c>
      <c r="B5" s="24"/>
      <c r="C5" s="24"/>
      <c r="D5" s="24"/>
      <c r="E5" s="25" t="s">
        <v>4</v>
      </c>
      <c r="F5" s="25"/>
    </row>
    <row r="6" spans="1:9">
      <c r="A6" s="26" t="s">
        <v>67</v>
      </c>
      <c r="B6" s="26"/>
      <c r="C6" s="26"/>
      <c r="D6" s="26"/>
      <c r="E6" s="26"/>
      <c r="F6" s="26"/>
    </row>
    <row r="7" spans="1:9">
      <c r="A7" s="20" t="s">
        <v>5</v>
      </c>
      <c r="B7" s="20"/>
      <c r="C7" s="27" t="s">
        <v>6</v>
      </c>
      <c r="D7" s="27"/>
      <c r="E7" s="27" t="s">
        <v>7</v>
      </c>
      <c r="F7" s="27"/>
    </row>
    <row r="8" spans="1:9" s="1" customFormat="1">
      <c r="A8" s="5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</row>
    <row r="9" spans="1:9">
      <c r="A9" s="8"/>
      <c r="B9" s="9"/>
      <c r="C9" s="9"/>
      <c r="D9" s="9"/>
      <c r="E9" s="9"/>
      <c r="F9" s="9"/>
    </row>
    <row r="10" spans="1:9" s="2" customFormat="1" ht="28.5">
      <c r="A10" s="10" t="s">
        <v>14</v>
      </c>
      <c r="B10" s="10" t="s">
        <v>15</v>
      </c>
      <c r="C10" s="10" t="s">
        <v>16</v>
      </c>
      <c r="D10" s="10" t="s">
        <v>17</v>
      </c>
      <c r="E10" s="10" t="s">
        <v>18</v>
      </c>
      <c r="F10" s="10" t="s">
        <v>19</v>
      </c>
    </row>
    <row r="11" spans="1:9" s="1" customFormat="1">
      <c r="A11" s="5" t="s">
        <v>20</v>
      </c>
      <c r="B11" s="7" t="s">
        <v>21</v>
      </c>
      <c r="C11" s="7" t="s">
        <v>22</v>
      </c>
      <c r="D11" s="11" t="s">
        <v>23</v>
      </c>
      <c r="E11" s="11" t="s">
        <v>24</v>
      </c>
      <c r="F11" s="11" t="s">
        <v>25</v>
      </c>
    </row>
    <row r="12" spans="1:9">
      <c r="A12" s="12" t="s">
        <v>26</v>
      </c>
      <c r="B12" s="13" t="s">
        <v>27</v>
      </c>
      <c r="C12" s="14"/>
      <c r="D12" s="15"/>
      <c r="E12" s="15"/>
      <c r="F12" s="15">
        <v>0</v>
      </c>
    </row>
    <row r="13" spans="1:9">
      <c r="A13" s="12" t="s">
        <v>28</v>
      </c>
      <c r="B13" s="13" t="s">
        <v>29</v>
      </c>
      <c r="C13" s="14"/>
      <c r="D13" s="15"/>
      <c r="E13" s="15"/>
      <c r="F13" s="15">
        <v>0</v>
      </c>
    </row>
    <row r="14" spans="1:9">
      <c r="A14" s="12" t="s">
        <v>30</v>
      </c>
      <c r="B14" s="13" t="s">
        <v>31</v>
      </c>
      <c r="C14" s="14"/>
      <c r="D14" s="15"/>
      <c r="E14" s="15"/>
      <c r="F14" s="15">
        <v>0</v>
      </c>
    </row>
    <row r="15" spans="1:9">
      <c r="A15" s="12" t="s">
        <v>32</v>
      </c>
      <c r="B15" s="13" t="s">
        <v>33</v>
      </c>
      <c r="C15" s="14"/>
      <c r="D15" s="15"/>
      <c r="E15" s="15"/>
      <c r="F15" s="15">
        <f>F16+F20</f>
        <v>0</v>
      </c>
    </row>
    <row r="16" spans="1:9" ht="17.25">
      <c r="A16" s="12" t="s">
        <v>34</v>
      </c>
      <c r="B16" s="13" t="s">
        <v>35</v>
      </c>
      <c r="C16" s="14"/>
      <c r="D16" s="15"/>
      <c r="E16" s="15"/>
      <c r="F16" s="15">
        <v>0</v>
      </c>
      <c r="H16" s="4">
        <f>909679.8/1.0909</f>
        <v>833880.09900082508</v>
      </c>
      <c r="I16" s="19"/>
    </row>
    <row r="17" spans="1:9" ht="28.5">
      <c r="A17" s="6" t="s">
        <v>36</v>
      </c>
      <c r="B17" s="11" t="s">
        <v>37</v>
      </c>
      <c r="C17" s="9"/>
      <c r="D17" s="16"/>
      <c r="E17" s="16"/>
      <c r="F17" s="16">
        <v>0</v>
      </c>
    </row>
    <row r="18" spans="1:9">
      <c r="A18" s="8" t="s">
        <v>38</v>
      </c>
      <c r="B18" s="11" t="s">
        <v>39</v>
      </c>
      <c r="C18" s="9"/>
      <c r="D18" s="16"/>
      <c r="E18" s="16"/>
      <c r="F18" s="16">
        <v>0</v>
      </c>
    </row>
    <row r="19" spans="1:9" ht="17.25">
      <c r="A19" s="8" t="s">
        <v>40</v>
      </c>
      <c r="B19" s="11" t="s">
        <v>41</v>
      </c>
      <c r="C19" s="9"/>
      <c r="D19" s="16"/>
      <c r="E19" s="16"/>
      <c r="F19" s="16">
        <v>0</v>
      </c>
      <c r="I19" s="19"/>
    </row>
    <row r="20" spans="1:9" ht="17.25">
      <c r="A20" s="8" t="s">
        <v>42</v>
      </c>
      <c r="B20" s="11" t="s">
        <v>43</v>
      </c>
      <c r="C20" s="9"/>
      <c r="D20" s="16"/>
      <c r="E20" s="16"/>
      <c r="F20" s="16">
        <v>0</v>
      </c>
      <c r="I20" s="19"/>
    </row>
    <row r="21" spans="1:9">
      <c r="A21" s="12" t="s">
        <v>44</v>
      </c>
      <c r="B21" s="13" t="s">
        <v>45</v>
      </c>
      <c r="C21" s="14"/>
      <c r="D21" s="15"/>
      <c r="E21" s="15"/>
      <c r="F21" s="15">
        <v>0</v>
      </c>
      <c r="I21" s="18"/>
    </row>
    <row r="22" spans="1:9">
      <c r="A22" s="12" t="s">
        <v>46</v>
      </c>
      <c r="B22" s="13" t="s">
        <v>47</v>
      </c>
      <c r="C22" s="14"/>
      <c r="D22" s="15"/>
      <c r="E22" s="15"/>
      <c r="F22" s="15">
        <f>F23</f>
        <v>0</v>
      </c>
    </row>
    <row r="23" spans="1:9" ht="30.75">
      <c r="A23" s="8" t="s">
        <v>48</v>
      </c>
      <c r="B23" s="11" t="s">
        <v>49</v>
      </c>
      <c r="C23" s="9"/>
      <c r="D23" s="16"/>
      <c r="E23" s="16"/>
      <c r="F23" s="16">
        <v>0</v>
      </c>
      <c r="H23" s="17"/>
      <c r="I23" s="17"/>
    </row>
    <row r="24" spans="1:9" ht="28.5">
      <c r="A24" s="8" t="s">
        <v>50</v>
      </c>
      <c r="B24" s="11" t="s">
        <v>51</v>
      </c>
      <c r="C24" s="9"/>
      <c r="D24" s="16"/>
      <c r="E24" s="16"/>
      <c r="F24" s="16"/>
      <c r="H24" s="18"/>
    </row>
    <row r="25" spans="1:9" ht="28.5">
      <c r="A25" s="8" t="s">
        <v>52</v>
      </c>
      <c r="B25" s="11" t="s">
        <v>53</v>
      </c>
      <c r="C25" s="9"/>
      <c r="D25" s="16"/>
      <c r="E25" s="16"/>
      <c r="F25" s="16"/>
      <c r="H25" s="18"/>
    </row>
    <row r="26" spans="1:9" ht="42.75">
      <c r="A26" s="8" t="s">
        <v>54</v>
      </c>
      <c r="B26" s="11" t="s">
        <v>55</v>
      </c>
      <c r="C26" s="9"/>
      <c r="D26" s="16"/>
      <c r="E26" s="16"/>
      <c r="F26" s="16"/>
      <c r="I26" s="18"/>
    </row>
    <row r="27" spans="1:9" ht="28.5">
      <c r="A27" s="8" t="s">
        <v>56</v>
      </c>
      <c r="B27" s="11" t="s">
        <v>57</v>
      </c>
      <c r="C27" s="9"/>
      <c r="D27" s="16"/>
      <c r="E27" s="16"/>
      <c r="F27" s="16"/>
    </row>
    <row r="28" spans="1:9">
      <c r="A28" s="8" t="s">
        <v>58</v>
      </c>
      <c r="B28" s="11" t="s">
        <v>59</v>
      </c>
      <c r="C28" s="9"/>
      <c r="D28" s="16"/>
      <c r="E28" s="16"/>
      <c r="F28" s="16"/>
    </row>
    <row r="29" spans="1:9">
      <c r="A29" s="12" t="s">
        <v>60</v>
      </c>
      <c r="B29" s="13" t="s">
        <v>61</v>
      </c>
      <c r="C29" s="14"/>
      <c r="D29" s="15"/>
      <c r="E29" s="15"/>
      <c r="F29" s="15">
        <f>+F22+F21+F15+F14+F13+F12</f>
        <v>0</v>
      </c>
    </row>
    <row r="30" spans="1:9" ht="16.149999999999999" customHeight="1">
      <c r="A30" s="21" t="s">
        <v>62</v>
      </c>
      <c r="B30" s="23" t="s">
        <v>65</v>
      </c>
      <c r="C30" s="23"/>
      <c r="D30" s="23" t="s">
        <v>63</v>
      </c>
      <c r="E30" s="23"/>
      <c r="F30" s="23" t="s">
        <v>64</v>
      </c>
    </row>
    <row r="31" spans="1:9">
      <c r="A31" s="21"/>
      <c r="B31" s="23"/>
      <c r="C31" s="23"/>
      <c r="D31" s="23"/>
      <c r="E31" s="23"/>
      <c r="F31" s="23"/>
    </row>
    <row r="32" spans="1:9" ht="17.25">
      <c r="A32" s="21"/>
      <c r="B32" s="23"/>
      <c r="C32" s="23"/>
      <c r="D32" s="23"/>
      <c r="E32" s="23"/>
      <c r="F32" s="23"/>
      <c r="H32" s="17"/>
    </row>
    <row r="33" spans="1:6">
      <c r="A33" s="21"/>
      <c r="B33" s="23"/>
      <c r="C33" s="23"/>
      <c r="D33" s="23"/>
      <c r="E33" s="23"/>
      <c r="F33" s="23"/>
    </row>
    <row r="34" spans="1:6">
      <c r="A34" s="21"/>
      <c r="B34" s="23"/>
      <c r="C34" s="23"/>
      <c r="D34" s="23"/>
      <c r="E34" s="23"/>
      <c r="F34" s="23"/>
    </row>
    <row r="35" spans="1:6">
      <c r="A35" s="21"/>
      <c r="B35" s="23"/>
      <c r="C35" s="23"/>
      <c r="D35" s="23"/>
      <c r="E35" s="23"/>
      <c r="F35" s="23"/>
    </row>
  </sheetData>
  <mergeCells count="14">
    <mergeCell ref="A1:A4"/>
    <mergeCell ref="A30:A35"/>
    <mergeCell ref="F1:F4"/>
    <mergeCell ref="F30:F35"/>
    <mergeCell ref="B30:C35"/>
    <mergeCell ref="D30:E35"/>
    <mergeCell ref="B1:C4"/>
    <mergeCell ref="D1:E4"/>
    <mergeCell ref="A5:D5"/>
    <mergeCell ref="E5:F5"/>
    <mergeCell ref="A6:F6"/>
    <mergeCell ref="A7:B7"/>
    <mergeCell ref="C7:D7"/>
    <mergeCell ref="E7:F7"/>
  </mergeCells>
  <pageMargins left="0.7" right="0.7" top="0.75" bottom="0.75" header="0.3" footer="0.3"/>
  <pageSetup scale="69" fitToHeight="0" orientation="portrait" r:id="rId1"/>
  <ignoredErrors>
    <ignoredError sqref="B12:C2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Hoja1!Print_Area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nathaniel nathan</cp:lastModifiedBy>
  <cp:lastPrinted>2025-03-01T00:31:21Z</cp:lastPrinted>
  <dcterms:created xsi:type="dcterms:W3CDTF">2024-01-13T09:58:00Z</dcterms:created>
  <dcterms:modified xsi:type="dcterms:W3CDTF">2026-04-14T15:19:54Z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EC855A46BB5643F0B49983F8F645BF7B_12</vt:lpwstr>
  </property>
  <property fmtid="{D5CDD505-2E9C-101B-9397-08002B2CF9AE}" pid="3" name="KSOProductBuildVer">
    <vt:lpwstr>3082-12.2.0.13215</vt:lpwstr>
  </property>
</Properties>
</file>