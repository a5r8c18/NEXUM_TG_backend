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oD\Desktop\"/>
    </mc:Choice>
  </mc:AlternateContent>
  <xr:revisionPtr revIDLastSave="0" documentId="13_ncr:1_{60F0ABC9-91BC-4C4A-8DCB-57F1EAC87DC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definedNames>
    <definedName name="_xlnm.Print_Area" localSheetId="0">'Table 1'!$A$1:$K$54</definedName>
    <definedName name="_xlnm.Print_Titles" localSheetId="0">'Table 1'!$1:$8</definedName>
  </definedNames>
  <calcPr calcId="191029"/>
</workbook>
</file>

<file path=xl/calcChain.xml><?xml version="1.0" encoding="utf-8"?>
<calcChain xmlns="http://schemas.openxmlformats.org/spreadsheetml/2006/main">
  <c r="K16" i="1" l="1"/>
  <c r="J20" i="1" l="1"/>
  <c r="I20" i="1"/>
  <c r="J16" i="1"/>
  <c r="J10" i="1" s="1"/>
  <c r="J27" i="1" s="1"/>
  <c r="I16" i="1"/>
  <c r="I10" i="1" s="1"/>
  <c r="I27" i="1" s="1"/>
  <c r="K20" i="1"/>
  <c r="K10" i="1"/>
  <c r="K37" i="1"/>
  <c r="K29" i="1"/>
  <c r="K27" i="1" l="1"/>
  <c r="K40" i="1" l="1"/>
  <c r="K48" i="1" l="1"/>
  <c r="K49" i="1" s="1"/>
  <c r="M49" i="1" s="1"/>
</calcChain>
</file>

<file path=xl/sharedStrings.xml><?xml version="1.0" encoding="utf-8"?>
<sst xmlns="http://schemas.openxmlformats.org/spreadsheetml/2006/main" count="106" uniqueCount="69">
  <si>
    <r>
      <rPr>
        <b/>
        <sz val="12"/>
        <rFont val="Arial"/>
        <family val="2"/>
      </rPr>
      <t>Subsistema de Información Estadístico Nacional (SIEN)</t>
    </r>
  </si>
  <si>
    <r>
      <rPr>
        <b/>
        <vertAlign val="superscript"/>
        <sz val="6.5"/>
        <rFont val="Arial"/>
        <family val="2"/>
      </rPr>
      <t xml:space="preserve">FORMULARIO Nro.:    </t>
    </r>
    <r>
      <rPr>
        <sz val="9"/>
        <rFont val="Arial"/>
        <family val="2"/>
      </rPr>
      <t>5920 - 04</t>
    </r>
  </si>
  <si>
    <r>
      <rPr>
        <b/>
        <sz val="9"/>
        <rFont val="Arial"/>
        <family val="2"/>
      </rPr>
      <t>PÁGINA: 1 de 1</t>
    </r>
  </si>
  <si>
    <r>
      <rPr>
        <b/>
        <vertAlign val="superscript"/>
        <sz val="6.5"/>
        <rFont val="Arial"/>
        <family val="2"/>
      </rPr>
      <t xml:space="preserve">PERIODICIDAD:   </t>
    </r>
    <r>
      <rPr>
        <sz val="9"/>
        <rFont val="Arial"/>
        <family val="2"/>
      </rPr>
      <t>MENSUAL</t>
    </r>
  </si>
  <si>
    <r>
      <rPr>
        <b/>
        <sz val="9"/>
        <rFont val="Arial"/>
        <family val="2"/>
      </rPr>
      <t>CENTRO INFORMANTE:</t>
    </r>
  </si>
  <si>
    <r>
      <rPr>
        <b/>
        <sz val="10"/>
        <rFont val="Arial"/>
        <family val="2"/>
      </rPr>
      <t>Página 1</t>
    </r>
  </si>
  <si>
    <r>
      <rPr>
        <b/>
        <sz val="10"/>
        <rFont val="Arial"/>
        <family val="2"/>
      </rPr>
      <t>INDICADORES</t>
    </r>
  </si>
  <si>
    <r>
      <rPr>
        <b/>
        <sz val="10"/>
        <rFont val="Arial"/>
        <family val="2"/>
      </rPr>
      <t>UM</t>
    </r>
  </si>
  <si>
    <r>
      <rPr>
        <b/>
        <sz val="10"/>
        <rFont val="Arial"/>
        <family val="2"/>
      </rPr>
      <t>FILA</t>
    </r>
  </si>
  <si>
    <r>
      <rPr>
        <b/>
        <sz val="8"/>
        <rFont val="Arial"/>
        <family val="2"/>
      </rPr>
      <t>PLAN ANUAL</t>
    </r>
  </si>
  <si>
    <r>
      <rPr>
        <b/>
        <sz val="8"/>
        <rFont val="Arial"/>
        <family val="2"/>
      </rPr>
      <t>APERTURA</t>
    </r>
  </si>
  <si>
    <r>
      <rPr>
        <b/>
        <sz val="8"/>
        <rFont val="Arial"/>
        <family val="2"/>
      </rPr>
      <t>REAL HASTA LA FECHA</t>
    </r>
  </si>
  <si>
    <r>
      <rPr>
        <b/>
        <sz val="8"/>
        <rFont val="Arial"/>
        <family val="2"/>
      </rPr>
      <t>A</t>
    </r>
  </si>
  <si>
    <r>
      <rPr>
        <b/>
        <sz val="8"/>
        <rFont val="Arial"/>
        <family val="2"/>
      </rPr>
      <t>B</t>
    </r>
  </si>
  <si>
    <r>
      <rPr>
        <b/>
        <sz val="8"/>
        <rFont val="Arial"/>
        <family val="2"/>
      </rPr>
      <t>C</t>
    </r>
  </si>
  <si>
    <r>
      <rPr>
        <b/>
        <sz val="10"/>
        <rFont val="Arial"/>
        <family val="2"/>
      </rPr>
      <t>ACTIVO</t>
    </r>
  </si>
  <si>
    <r>
      <rPr>
        <sz val="10"/>
        <rFont val="Arial"/>
        <family val="2"/>
      </rPr>
      <t>P</t>
    </r>
  </si>
  <si>
    <r>
      <rPr>
        <sz val="10"/>
        <rFont val="Arial"/>
        <family val="2"/>
      </rPr>
      <t>Efectivo en Caja (101-108)</t>
    </r>
  </si>
  <si>
    <r>
      <rPr>
        <sz val="10"/>
        <rFont val="Arial"/>
        <family val="2"/>
      </rPr>
      <t>Efectivo en Banco y en Otras Instituciones (109-119)</t>
    </r>
  </si>
  <si>
    <r>
      <rPr>
        <sz val="10"/>
        <rFont val="Arial"/>
        <family val="2"/>
      </rPr>
      <t>Cuentas por Cobrar a Corto Plazo (135-139 y 154)</t>
    </r>
  </si>
  <si>
    <r>
      <rPr>
        <sz val="10"/>
        <rFont val="Arial"/>
        <family val="2"/>
      </rPr>
      <t>Pagos Anticipados a Suministradores (146-149)</t>
    </r>
  </si>
  <si>
    <r>
      <rPr>
        <sz val="10"/>
        <rFont val="Arial"/>
        <family val="2"/>
      </rPr>
      <t>Adeudos del Presupuesto del Estado (164-166)</t>
    </r>
  </si>
  <si>
    <r>
      <rPr>
        <sz val="10"/>
        <rFont val="Arial"/>
        <family val="2"/>
      </rPr>
      <t>Materias Primas y Materiales (183)</t>
    </r>
  </si>
  <si>
    <r>
      <rPr>
        <sz val="10"/>
        <rFont val="Arial"/>
        <family val="2"/>
      </rPr>
      <t>Útiles, Herramientas y Otros (187)</t>
    </r>
  </si>
  <si>
    <r>
      <rPr>
        <sz val="10"/>
        <rFont val="Arial"/>
        <family val="2"/>
      </rPr>
      <t>Alimentos (193)</t>
    </r>
  </si>
  <si>
    <r>
      <rPr>
        <sz val="10"/>
        <rFont val="Arial"/>
        <family val="2"/>
      </rPr>
      <t>Activos Fijos Tangibles (240-251)</t>
    </r>
  </si>
  <si>
    <r>
      <rPr>
        <sz val="10"/>
        <rFont val="Arial"/>
        <family val="2"/>
      </rPr>
      <t>Menos: Depreciación de Activos Fijos Tangibles (375-388)</t>
    </r>
  </si>
  <si>
    <r>
      <rPr>
        <sz val="10"/>
        <rFont val="Arial"/>
        <family val="2"/>
      </rPr>
      <t>Activos Diferidos</t>
    </r>
  </si>
  <si>
    <r>
      <rPr>
        <sz val="10"/>
        <rFont val="Arial"/>
        <family val="2"/>
      </rPr>
      <t>Gastos por Faltantes y Pérdidas Diferidos (312)</t>
    </r>
  </si>
  <si>
    <r>
      <rPr>
        <sz val="10"/>
        <rFont val="Arial"/>
        <family val="2"/>
      </rPr>
      <t>Otros Activos</t>
    </r>
  </si>
  <si>
    <r>
      <rPr>
        <sz val="10"/>
        <rFont val="Arial"/>
        <family val="2"/>
      </rPr>
      <t>Cuentas por Cobrar Diversas - Operaciones Corrientes (334-341)</t>
    </r>
  </si>
  <si>
    <r>
      <rPr>
        <b/>
        <sz val="10"/>
        <rFont val="Arial"/>
        <family val="2"/>
      </rPr>
      <t>PASIVO</t>
    </r>
  </si>
  <si>
    <r>
      <rPr>
        <sz val="10"/>
        <rFont val="Arial"/>
        <family val="2"/>
      </rPr>
      <t>Cuentas por Pagar a Corto Plazo (405-415)</t>
    </r>
  </si>
  <si>
    <r>
      <rPr>
        <sz val="10"/>
        <rFont val="Arial"/>
        <family val="2"/>
      </rPr>
      <t>Dividendos y Participaciones por Pagar (417)</t>
    </r>
  </si>
  <si>
    <r>
      <rPr>
        <sz val="10"/>
        <rFont val="Arial"/>
        <family val="2"/>
      </rPr>
      <t>Obligaciones con el Presupuesto del Estado (440-449)</t>
    </r>
  </si>
  <si>
    <r>
      <rPr>
        <sz val="10"/>
        <rFont val="Arial"/>
        <family val="2"/>
      </rPr>
      <t>Nóminas por Pagar (455-459)</t>
    </r>
  </si>
  <si>
    <r>
      <rPr>
        <sz val="10"/>
        <rFont val="Arial"/>
        <family val="2"/>
      </rPr>
      <t>Gastos Acumulados por Pagar (480-489)</t>
    </r>
  </si>
  <si>
    <r>
      <rPr>
        <sz val="10"/>
        <rFont val="Arial"/>
        <family val="2"/>
      </rPr>
      <t>Provisión para Vacaciones (492)</t>
    </r>
  </si>
  <si>
    <r>
      <rPr>
        <sz val="10"/>
        <rFont val="Arial"/>
        <family val="2"/>
      </rPr>
      <t>Provisión para Pagos de los Subsidios de Seguridad Social a Corto Plazo (500)</t>
    </r>
  </si>
  <si>
    <r>
      <rPr>
        <sz val="10"/>
        <rFont val="Arial"/>
        <family val="2"/>
      </rPr>
      <t>Cuentas por Pagar Diversas (565-569)</t>
    </r>
  </si>
  <si>
    <r>
      <rPr>
        <b/>
        <sz val="10"/>
        <rFont val="Arial"/>
        <family val="2"/>
      </rPr>
      <t>PATRIMONIO NETO O CAPITAL CONTABLE</t>
    </r>
  </si>
  <si>
    <r>
      <rPr>
        <sz val="10"/>
        <rFont val="Arial"/>
        <family val="2"/>
      </rPr>
      <t>Inversión Estatal (600-612) Sector Público</t>
    </r>
  </si>
  <si>
    <r>
      <rPr>
        <sz val="10"/>
        <rFont val="Arial"/>
        <family val="2"/>
      </rPr>
      <t>Reservas para Contingencias (645)</t>
    </r>
  </si>
  <si>
    <r>
      <rPr>
        <sz val="10"/>
        <rFont val="Arial"/>
        <family val="2"/>
      </rPr>
      <t>Otras Reservas Patrimoniales (646-654)</t>
    </r>
  </si>
  <si>
    <r>
      <rPr>
        <sz val="10"/>
        <rFont val="Arial"/>
        <family val="2"/>
      </rPr>
      <t>Pago a Cuenta de las Utilidades (690)</t>
    </r>
  </si>
  <si>
    <r>
      <rPr>
        <sz val="10"/>
        <rFont val="Arial"/>
        <family val="2"/>
      </rPr>
      <t>Pago a Cuenta de los Dividendos (691)</t>
    </r>
  </si>
  <si>
    <r>
      <rPr>
        <sz val="10"/>
        <rFont val="Arial"/>
        <family val="2"/>
      </rPr>
      <t>Resultado del Período</t>
    </r>
  </si>
  <si>
    <r>
      <rPr>
        <sz val="8"/>
        <rFont val="Arial"/>
        <family val="2"/>
      </rPr>
      <t xml:space="preserve">CERTIFICAMOS QUE LOS DATOS CONTENIDOS EN ESTE ESTADO FINANCIERO SE CORRESPONDEN CON LAS ANOTACIONES CONTABLES DE ACUERDO CON LAS
</t>
    </r>
    <r>
      <rPr>
        <sz val="8"/>
        <rFont val="Arial"/>
        <family val="2"/>
      </rPr>
      <t>REGULACIONES VIGENTES.</t>
    </r>
  </si>
  <si>
    <r>
      <rPr>
        <b/>
        <sz val="9"/>
        <rFont val="Arial"/>
        <family val="2"/>
      </rPr>
      <t>HECHO POR::</t>
    </r>
  </si>
  <si>
    <r>
      <rPr>
        <b/>
        <sz val="9"/>
        <rFont val="Arial"/>
        <family val="2"/>
      </rPr>
      <t>APROBADO POR::</t>
    </r>
  </si>
  <si>
    <r>
      <rPr>
        <b/>
        <sz val="9"/>
        <rFont val="Arial"/>
        <family val="2"/>
      </rPr>
      <t>FIRMA</t>
    </r>
  </si>
  <si>
    <r>
      <rPr>
        <b/>
        <sz val="15"/>
        <rFont val="Arial"/>
        <family val="2"/>
      </rPr>
      <t xml:space="preserve">Observaciones
</t>
    </r>
    <r>
      <rPr>
        <sz val="11"/>
        <rFont val="Arial"/>
        <family val="2"/>
      </rPr>
      <t>Mipyme</t>
    </r>
  </si>
  <si>
    <t>Falló en la regla 40 Error: No se cumple que la fila 149 es igual a la fila 40 del EFE 5922 04 Real Acumulado . Se evaluó:</t>
  </si>
  <si>
    <t>(Fila ) 2636584.34==0</t>
  </si>
  <si>
    <t>Pasivos Circulantes</t>
  </si>
  <si>
    <t>Otros Pasivos</t>
  </si>
  <si>
    <t>TOTAL DE PATRIMONIO NETO</t>
  </si>
  <si>
    <t>TOTAL DEL PASIVO Y PATRIMONIO NETO O CAPITAL CONTABLE</t>
  </si>
  <si>
    <t>TOTAL DEL ACTIVO</t>
  </si>
  <si>
    <t>TOTAL DEL PASIVO</t>
  </si>
  <si>
    <t>Activos Circulantes</t>
  </si>
  <si>
    <t>Total de inventarios</t>
  </si>
  <si>
    <t>Activos Fijos</t>
  </si>
  <si>
    <t>NOMBRE Y APELLIDOS                Frank Lamas Brito</t>
  </si>
  <si>
    <r>
      <t>FECHA:
|</t>
    </r>
    <r>
      <rPr>
        <b/>
        <u/>
        <sz val="9"/>
        <rFont val="Arial"/>
        <family val="2"/>
      </rPr>
      <t>   31   </t>
    </r>
    <r>
      <rPr>
        <b/>
        <sz val="9"/>
        <rFont val="Arial"/>
        <family val="2"/>
      </rPr>
      <t>||</t>
    </r>
    <r>
      <rPr>
        <b/>
        <u/>
        <sz val="9"/>
        <rFont val="Arial"/>
        <family val="2"/>
      </rPr>
      <t>   12      </t>
    </r>
    <r>
      <rPr>
        <b/>
        <sz val="9"/>
        <rFont val="Arial"/>
        <family val="2"/>
      </rPr>
      <t>||</t>
    </r>
    <r>
      <rPr>
        <b/>
        <u/>
        <sz val="9"/>
        <rFont val="Arial"/>
        <family val="2"/>
      </rPr>
      <t>  2025  </t>
    </r>
    <r>
      <rPr>
        <b/>
        <sz val="9"/>
        <rFont val="Arial"/>
        <family val="2"/>
      </rPr>
      <t xml:space="preserve">|       </t>
    </r>
    <r>
      <rPr>
        <b/>
        <sz val="12"/>
        <rFont val="Arial"/>
        <family val="2"/>
      </rPr>
      <t>Día   Mes   Año</t>
    </r>
  </si>
  <si>
    <t>NOMBRE Y APELLIDOS     Yarila García Rodríguez</t>
  </si>
  <si>
    <t>Proforma EFE 5920 - 04 Estado de Situación</t>
  </si>
  <si>
    <t xml:space="preserve">INFORME CORRESPONDIENTE A:  </t>
  </si>
  <si>
    <r>
      <t xml:space="preserve">CÓDIGO CENTRO INFORMANTE: </t>
    </r>
    <r>
      <rPr>
        <sz val="9"/>
        <rFont val="Arial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</si>
</sst>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color rgb="FF000000"/>
      <name val="Times New Roman"/>
      <charset val="204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8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vertAlign val="superscript"/>
      <sz val="6.5"/>
      <name val="Arial"/>
      <family val="2"/>
    </font>
    <font>
      <b/>
      <sz val="8.5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u/>
      <sz val="9"/>
      <name val="Arial"/>
      <family val="2"/>
    </font>
    <font>
      <b/>
      <sz val="15"/>
      <name val="Arial"/>
      <family val="2"/>
    </font>
    <font>
      <sz val="11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4">
    <xf numFmtId="0" fontId="0" fillId="0" borderId="0" xfId="0" applyAlignment="1">
      <alignment horizontal="left" vertical="top"/>
    </xf>
    <xf numFmtId="0" fontId="2" fillId="0" borderId="2" xfId="0" applyFont="1" applyBorder="1" applyAlignment="1">
      <alignment horizontal="left" vertical="top" wrapText="1"/>
    </xf>
    <xf numFmtId="0" fontId="0" fillId="0" borderId="3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4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 indent="1"/>
    </xf>
    <xf numFmtId="0" fontId="5" fillId="0" borderId="1" xfId="0" applyFont="1" applyBorder="1" applyAlignment="1">
      <alignment horizontal="center" vertical="top" wrapText="1"/>
    </xf>
    <xf numFmtId="1" fontId="6" fillId="0" borderId="1" xfId="0" applyNumberFormat="1" applyFont="1" applyBorder="1" applyAlignment="1">
      <alignment horizontal="center" vertical="top" shrinkToFit="1"/>
    </xf>
    <xf numFmtId="1" fontId="8" fillId="0" borderId="1" xfId="0" applyNumberFormat="1" applyFont="1" applyBorder="1" applyAlignment="1">
      <alignment horizontal="center" vertical="top" shrinkToFit="1"/>
    </xf>
    <xf numFmtId="2" fontId="8" fillId="0" borderId="1" xfId="0" applyNumberFormat="1" applyFont="1" applyBorder="1" applyAlignment="1">
      <alignment horizontal="right" vertical="top" shrinkToFit="1"/>
    </xf>
    <xf numFmtId="4" fontId="8" fillId="0" borderId="1" xfId="0" applyNumberFormat="1" applyFont="1" applyBorder="1" applyAlignment="1">
      <alignment horizontal="right" vertical="top" shrinkToFit="1"/>
    </xf>
    <xf numFmtId="1" fontId="8" fillId="0" borderId="5" xfId="0" applyNumberFormat="1" applyFont="1" applyBorder="1" applyAlignment="1">
      <alignment horizontal="center" vertical="top" shrinkToFit="1"/>
    </xf>
    <xf numFmtId="1" fontId="8" fillId="0" borderId="1" xfId="0" applyNumberFormat="1" applyFont="1" applyBorder="1" applyAlignment="1">
      <alignment horizontal="left" vertical="top" indent="1" shrinkToFit="1"/>
    </xf>
    <xf numFmtId="4" fontId="0" fillId="0" borderId="0" xfId="0" applyNumberFormat="1" applyAlignment="1">
      <alignment horizontal="left" vertical="top"/>
    </xf>
    <xf numFmtId="1" fontId="0" fillId="0" borderId="0" xfId="0" applyNumberFormat="1" applyAlignment="1">
      <alignment horizontal="left" vertical="top"/>
    </xf>
    <xf numFmtId="2" fontId="0" fillId="0" borderId="0" xfId="0" applyNumberFormat="1" applyAlignment="1">
      <alignment horizontal="left" vertical="top"/>
    </xf>
    <xf numFmtId="4" fontId="16" fillId="0" borderId="1" xfId="0" applyNumberFormat="1" applyFont="1" applyBorder="1" applyAlignment="1">
      <alignment horizontal="right" vertical="top" shrinkToFit="1"/>
    </xf>
    <xf numFmtId="4" fontId="16" fillId="0" borderId="5" xfId="0" applyNumberFormat="1" applyFont="1" applyBorder="1" applyAlignment="1">
      <alignment horizontal="right" vertical="top" shrinkToFit="1"/>
    </xf>
    <xf numFmtId="4" fontId="17" fillId="0" borderId="1" xfId="0" applyNumberFormat="1" applyFont="1" applyBorder="1" applyAlignment="1">
      <alignment horizontal="right" vertical="top" shrinkToFit="1"/>
    </xf>
    <xf numFmtId="0" fontId="0" fillId="0" borderId="0" xfId="0" applyAlignment="1">
      <alignment horizontal="left" wrapText="1"/>
    </xf>
    <xf numFmtId="0" fontId="11" fillId="0" borderId="2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 indent="1"/>
    </xf>
    <xf numFmtId="0" fontId="7" fillId="0" borderId="4" xfId="0" applyFont="1" applyBorder="1" applyAlignment="1">
      <alignment horizontal="left" vertical="top" wrapText="1" indent="1"/>
    </xf>
    <xf numFmtId="2" fontId="8" fillId="0" borderId="2" xfId="0" applyNumberFormat="1" applyFont="1" applyBorder="1" applyAlignment="1">
      <alignment horizontal="right" vertical="top" shrinkToFit="1"/>
    </xf>
    <xf numFmtId="2" fontId="8" fillId="0" borderId="3" xfId="0" applyNumberFormat="1" applyFont="1" applyBorder="1" applyAlignment="1">
      <alignment horizontal="right" vertical="top" shrinkToFit="1"/>
    </xf>
    <xf numFmtId="2" fontId="8" fillId="0" borderId="4" xfId="0" applyNumberFormat="1" applyFont="1" applyBorder="1" applyAlignment="1">
      <alignment horizontal="right" vertical="top" shrinkToFit="1"/>
    </xf>
    <xf numFmtId="4" fontId="8" fillId="0" borderId="2" xfId="0" applyNumberFormat="1" applyFont="1" applyBorder="1" applyAlignment="1">
      <alignment horizontal="left" vertical="top" indent="2" shrinkToFit="1"/>
    </xf>
    <xf numFmtId="4" fontId="8" fillId="0" borderId="4" xfId="0" applyNumberFormat="1" applyFont="1" applyBorder="1" applyAlignment="1">
      <alignment horizontal="left" vertical="top" indent="2" shrinkToFi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 indent="2"/>
    </xf>
    <xf numFmtId="0" fontId="7" fillId="0" borderId="4" xfId="0" applyFont="1" applyBorder="1" applyAlignment="1">
      <alignment horizontal="left" vertical="top" wrapText="1" indent="2"/>
    </xf>
    <xf numFmtId="0" fontId="11" fillId="0" borderId="2" xfId="0" applyFont="1" applyBorder="1" applyAlignment="1">
      <alignment horizontal="left" vertical="top" wrapText="1" indent="2"/>
    </xf>
    <xf numFmtId="0" fontId="11" fillId="0" borderId="4" xfId="0" applyFont="1" applyBorder="1" applyAlignment="1">
      <alignment horizontal="left" vertical="top" wrapText="1" indent="2"/>
    </xf>
    <xf numFmtId="4" fontId="8" fillId="0" borderId="2" xfId="0" applyNumberFormat="1" applyFont="1" applyBorder="1" applyAlignment="1">
      <alignment horizontal="left" vertical="top" indent="3" shrinkToFit="1"/>
    </xf>
    <xf numFmtId="4" fontId="8" fillId="0" borderId="4" xfId="0" applyNumberFormat="1" applyFont="1" applyBorder="1" applyAlignment="1">
      <alignment horizontal="left" vertical="top" indent="3" shrinkToFit="1"/>
    </xf>
    <xf numFmtId="4" fontId="8" fillId="0" borderId="2" xfId="0" applyNumberFormat="1" applyFont="1" applyBorder="1" applyAlignment="1">
      <alignment horizontal="left" vertical="top" indent="5" shrinkToFit="1"/>
    </xf>
    <xf numFmtId="4" fontId="8" fillId="0" borderId="4" xfId="0" applyNumberFormat="1" applyFont="1" applyBorder="1" applyAlignment="1">
      <alignment horizontal="left" vertical="top" indent="5" shrinkToFit="1"/>
    </xf>
    <xf numFmtId="0" fontId="4" fillId="2" borderId="2" xfId="0" applyFont="1" applyFill="1" applyBorder="1" applyAlignment="1">
      <alignment horizontal="left" vertical="top" wrapText="1" indent="1"/>
    </xf>
    <xf numFmtId="0" fontId="4" fillId="2" borderId="3" xfId="0" applyFont="1" applyFill="1" applyBorder="1" applyAlignment="1">
      <alignment horizontal="left" vertical="top" wrapText="1" indent="1"/>
    </xf>
    <xf numFmtId="0" fontId="4" fillId="2" borderId="4" xfId="0" applyFont="1" applyFill="1" applyBorder="1" applyAlignment="1">
      <alignment horizontal="left" vertical="top" wrapText="1" indent="1"/>
    </xf>
    <xf numFmtId="0" fontId="7" fillId="0" borderId="2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 wrapText="1"/>
    </xf>
    <xf numFmtId="4" fontId="8" fillId="0" borderId="2" xfId="0" applyNumberFormat="1" applyFont="1" applyBorder="1" applyAlignment="1">
      <alignment horizontal="right" vertical="top" shrinkToFit="1"/>
    </xf>
    <xf numFmtId="4" fontId="8" fillId="0" borderId="4" xfId="0" applyNumberFormat="1" applyFont="1" applyBorder="1" applyAlignment="1">
      <alignment horizontal="right" vertical="top" shrinkToFit="1"/>
    </xf>
    <xf numFmtId="0" fontId="11" fillId="0" borderId="6" xfId="0" applyFont="1" applyBorder="1" applyAlignment="1">
      <alignment horizontal="left" vertical="top" wrapText="1" indent="2"/>
    </xf>
    <xf numFmtId="0" fontId="11" fillId="0" borderId="7" xfId="0" applyFont="1" applyBorder="1" applyAlignment="1">
      <alignment horizontal="left" vertical="top" wrapText="1" indent="2"/>
    </xf>
    <xf numFmtId="0" fontId="7" fillId="0" borderId="6" xfId="0" applyFont="1" applyBorder="1" applyAlignment="1">
      <alignment horizontal="center" vertical="top" wrapText="1"/>
    </xf>
    <xf numFmtId="0" fontId="7" fillId="0" borderId="7" xfId="0" applyFont="1" applyBorder="1" applyAlignment="1">
      <alignment horizontal="center" vertical="top" wrapText="1"/>
    </xf>
    <xf numFmtId="2" fontId="8" fillId="0" borderId="6" xfId="0" applyNumberFormat="1" applyFont="1" applyBorder="1" applyAlignment="1">
      <alignment horizontal="right" vertical="top" shrinkToFit="1"/>
    </xf>
    <xf numFmtId="2" fontId="8" fillId="0" borderId="8" xfId="0" applyNumberFormat="1" applyFont="1" applyBorder="1" applyAlignment="1">
      <alignment horizontal="right" vertical="top" shrinkToFit="1"/>
    </xf>
    <xf numFmtId="2" fontId="8" fillId="0" borderId="7" xfId="0" applyNumberFormat="1" applyFont="1" applyBorder="1" applyAlignment="1">
      <alignment horizontal="right" vertical="top" shrinkToFit="1"/>
    </xf>
    <xf numFmtId="4" fontId="8" fillId="0" borderId="6" xfId="0" applyNumberFormat="1" applyFont="1" applyBorder="1" applyAlignment="1">
      <alignment horizontal="right" vertical="top" shrinkToFit="1"/>
    </xf>
    <xf numFmtId="4" fontId="8" fillId="0" borderId="7" xfId="0" applyNumberFormat="1" applyFont="1" applyBorder="1" applyAlignment="1">
      <alignment horizontal="right" vertical="top" shrinkToFit="1"/>
    </xf>
    <xf numFmtId="0" fontId="18" fillId="0" borderId="2" xfId="0" applyFont="1" applyBorder="1" applyAlignment="1">
      <alignment horizontal="left" vertical="top" wrapText="1" indent="2"/>
    </xf>
    <xf numFmtId="0" fontId="18" fillId="0" borderId="4" xfId="0" applyFont="1" applyBorder="1" applyAlignment="1">
      <alignment horizontal="left" vertical="top" wrapText="1" indent="2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9"/>
    </xf>
    <xf numFmtId="0" fontId="4" fillId="0" borderId="4" xfId="0" applyFont="1" applyBorder="1" applyAlignment="1">
      <alignment horizontal="left" vertical="top" wrapText="1" indent="9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top" wrapText="1" indent="2"/>
    </xf>
    <xf numFmtId="0" fontId="5" fillId="0" borderId="3" xfId="0" applyFont="1" applyBorder="1" applyAlignment="1">
      <alignment horizontal="left" vertical="top" wrapText="1" indent="2"/>
    </xf>
    <xf numFmtId="0" fontId="5" fillId="0" borderId="4" xfId="0" applyFont="1" applyBorder="1" applyAlignment="1">
      <alignment horizontal="left" vertical="top" wrapText="1" indent="2"/>
    </xf>
    <xf numFmtId="0" fontId="5" fillId="0" borderId="2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1" fontId="6" fillId="0" borderId="2" xfId="0" applyNumberFormat="1" applyFont="1" applyBorder="1" applyAlignment="1">
      <alignment horizontal="center" vertical="top" shrinkToFit="1"/>
    </xf>
    <xf numFmtId="1" fontId="6" fillId="0" borderId="3" xfId="0" applyNumberFormat="1" applyFont="1" applyBorder="1" applyAlignment="1">
      <alignment horizontal="center" vertical="top" shrinkToFit="1"/>
    </xf>
    <xf numFmtId="1" fontId="6" fillId="0" borderId="4" xfId="0" applyNumberFormat="1" applyFont="1" applyBorder="1" applyAlignment="1">
      <alignment horizontal="center" vertical="top" shrinkToFi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top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10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539999</xdr:colOff>
      <xdr:row>37</xdr:row>
      <xdr:rowOff>5397</xdr:rowOff>
    </xdr:from>
    <xdr:ext cx="6692900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6692900" cy="0"/>
        </a:xfrm>
        <a:custGeom>
          <a:avLst/>
          <a:gdLst/>
          <a:ahLst/>
          <a:cxnLst/>
          <a:rect l="0" t="0" r="0" b="0"/>
          <a:pathLst>
            <a:path w="6692900">
              <a:moveTo>
                <a:pt x="0" y="0"/>
              </a:moveTo>
              <a:lnTo>
                <a:pt x="6692400" y="0"/>
              </a:lnTo>
            </a:path>
          </a:pathLst>
        </a:custGeom>
        <a:ln w="10795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5"/>
  <sheetViews>
    <sheetView tabSelected="1" topLeftCell="A19" zoomScaleNormal="100" workbookViewId="0">
      <selection activeCell="G4" sqref="G4"/>
    </sheetView>
  </sheetViews>
  <sheetFormatPr defaultColWidth="9.33203125" defaultRowHeight="12.75" x14ac:dyDescent="0.2"/>
  <cols>
    <col min="1" max="1" width="26.6640625" customWidth="1"/>
    <col min="2" max="2" width="19.83203125" customWidth="1"/>
    <col min="3" max="3" width="3.33203125" customWidth="1"/>
    <col min="4" max="4" width="2.1640625" customWidth="1"/>
    <col min="5" max="5" width="9.33203125" customWidth="1"/>
    <col min="6" max="6" width="5.83203125" customWidth="1"/>
    <col min="7" max="7" width="11.5" customWidth="1"/>
    <col min="8" max="8" width="2.1640625" customWidth="1"/>
    <col min="9" max="9" width="17.33203125" customWidth="1"/>
    <col min="10" max="10" width="3.33203125" customWidth="1"/>
    <col min="11" max="11" width="20.83203125" customWidth="1"/>
    <col min="12" max="12" width="9.33203125" customWidth="1"/>
    <col min="13" max="13" width="17.83203125" customWidth="1"/>
    <col min="14" max="14" width="11.6640625" bestFit="1" customWidth="1"/>
    <col min="15" max="15" width="12.6640625" bestFit="1" customWidth="1"/>
    <col min="16" max="16" width="11.6640625" bestFit="1" customWidth="1"/>
  </cols>
  <sheetData>
    <row r="1" spans="1:14" ht="84.95" customHeight="1" x14ac:dyDescent="0.2">
      <c r="A1" s="29"/>
      <c r="B1" s="30"/>
      <c r="C1" s="30"/>
      <c r="D1" s="31"/>
      <c r="E1" s="84" t="s">
        <v>0</v>
      </c>
      <c r="F1" s="85"/>
      <c r="G1" s="86"/>
      <c r="H1" s="87" t="s">
        <v>66</v>
      </c>
      <c r="I1" s="88"/>
      <c r="J1" s="88"/>
      <c r="K1" s="89"/>
    </row>
    <row r="2" spans="1:14" ht="17.100000000000001" customHeight="1" x14ac:dyDescent="0.2">
      <c r="A2" s="29" t="s">
        <v>1</v>
      </c>
      <c r="B2" s="30"/>
      <c r="C2" s="30"/>
      <c r="D2" s="31"/>
      <c r="E2" s="32" t="s">
        <v>2</v>
      </c>
      <c r="F2" s="33"/>
      <c r="G2" s="34"/>
      <c r="H2" s="29" t="s">
        <v>3</v>
      </c>
      <c r="I2" s="30"/>
      <c r="J2" s="30"/>
      <c r="K2" s="31"/>
    </row>
    <row r="3" spans="1:14" ht="17.100000000000001" customHeight="1" x14ac:dyDescent="0.2">
      <c r="A3" s="93" t="s">
        <v>67</v>
      </c>
      <c r="B3" s="30"/>
      <c r="C3" s="30"/>
      <c r="D3" s="30"/>
      <c r="E3" s="30"/>
      <c r="F3" s="31"/>
      <c r="G3" s="32" t="s">
        <v>68</v>
      </c>
      <c r="H3" s="30"/>
      <c r="I3" s="30"/>
      <c r="J3" s="30"/>
      <c r="K3" s="31"/>
    </row>
    <row r="4" spans="1:14" ht="23.25" customHeight="1" x14ac:dyDescent="0.2">
      <c r="A4" s="1" t="s">
        <v>4</v>
      </c>
      <c r="B4" s="90"/>
      <c r="C4" s="90"/>
      <c r="D4" s="90"/>
      <c r="E4" s="91"/>
      <c r="F4" s="91"/>
      <c r="G4" s="2"/>
      <c r="H4" s="91"/>
      <c r="I4" s="91"/>
      <c r="J4" s="91"/>
      <c r="K4" s="92"/>
    </row>
    <row r="5" spans="1:14" ht="6.75" customHeight="1" x14ac:dyDescent="0.2">
      <c r="A5" s="3"/>
      <c r="B5" s="3"/>
      <c r="C5" s="19"/>
      <c r="D5" s="19"/>
      <c r="E5" s="3"/>
      <c r="F5" s="3"/>
      <c r="G5" s="3"/>
      <c r="H5" s="3"/>
      <c r="I5" s="19"/>
      <c r="J5" s="19"/>
      <c r="K5" s="3"/>
    </row>
    <row r="6" spans="1:14" ht="20.100000000000001" customHeight="1" x14ac:dyDescent="0.2">
      <c r="A6" s="69" t="s">
        <v>5</v>
      </c>
      <c r="B6" s="70"/>
      <c r="C6" s="70"/>
      <c r="D6" s="70"/>
      <c r="E6" s="70"/>
      <c r="F6" s="70"/>
      <c r="G6" s="70"/>
      <c r="H6" s="70"/>
      <c r="I6" s="70"/>
      <c r="J6" s="70"/>
      <c r="K6" s="71"/>
    </row>
    <row r="7" spans="1:14" ht="32.25" customHeight="1" x14ac:dyDescent="0.2">
      <c r="A7" s="72" t="s">
        <v>6</v>
      </c>
      <c r="B7" s="73"/>
      <c r="C7" s="74" t="s">
        <v>7</v>
      </c>
      <c r="D7" s="75"/>
      <c r="E7" s="4" t="s">
        <v>8</v>
      </c>
      <c r="F7" s="76" t="s">
        <v>9</v>
      </c>
      <c r="G7" s="77"/>
      <c r="H7" s="78"/>
      <c r="I7" s="76" t="s">
        <v>10</v>
      </c>
      <c r="J7" s="78"/>
      <c r="K7" s="5" t="s">
        <v>11</v>
      </c>
    </row>
    <row r="8" spans="1:14" ht="15.95" customHeight="1" x14ac:dyDescent="0.2">
      <c r="A8" s="79" t="s">
        <v>12</v>
      </c>
      <c r="B8" s="80"/>
      <c r="C8" s="79" t="s">
        <v>13</v>
      </c>
      <c r="D8" s="80"/>
      <c r="E8" s="6" t="s">
        <v>14</v>
      </c>
      <c r="F8" s="81">
        <v>1</v>
      </c>
      <c r="G8" s="82"/>
      <c r="H8" s="83"/>
      <c r="I8" s="81">
        <v>2</v>
      </c>
      <c r="J8" s="83"/>
      <c r="K8" s="7">
        <v>3</v>
      </c>
    </row>
    <row r="9" spans="1:14" ht="20.100000000000001" customHeight="1" x14ac:dyDescent="0.2">
      <c r="A9" s="49" t="s">
        <v>15</v>
      </c>
      <c r="B9" s="50"/>
      <c r="C9" s="50"/>
      <c r="D9" s="50"/>
      <c r="E9" s="50"/>
      <c r="F9" s="50"/>
      <c r="G9" s="50"/>
      <c r="H9" s="50"/>
      <c r="I9" s="50"/>
      <c r="J9" s="50"/>
      <c r="K9" s="51"/>
    </row>
    <row r="10" spans="1:14" ht="20.100000000000001" customHeight="1" x14ac:dyDescent="0.2">
      <c r="A10" s="43" t="s">
        <v>60</v>
      </c>
      <c r="B10" s="44"/>
      <c r="C10" s="54" t="s">
        <v>16</v>
      </c>
      <c r="D10" s="55"/>
      <c r="E10" s="8">
        <v>1</v>
      </c>
      <c r="F10" s="24">
        <v>0</v>
      </c>
      <c r="G10" s="25"/>
      <c r="H10" s="26"/>
      <c r="I10" s="56">
        <f t="shared" ref="I10:J10" si="0">SUM(I11:I16)</f>
        <v>0</v>
      </c>
      <c r="J10" s="57">
        <f t="shared" si="0"/>
        <v>0</v>
      </c>
      <c r="K10" s="16">
        <f>SUM(K11:K16)</f>
        <v>0</v>
      </c>
      <c r="N10" t="s">
        <v>52</v>
      </c>
    </row>
    <row r="11" spans="1:14" ht="20.100000000000001" customHeight="1" x14ac:dyDescent="0.2">
      <c r="A11" s="41" t="s">
        <v>17</v>
      </c>
      <c r="B11" s="42"/>
      <c r="C11" s="54" t="s">
        <v>16</v>
      </c>
      <c r="D11" s="55"/>
      <c r="E11" s="8">
        <v>2</v>
      </c>
      <c r="F11" s="24">
        <v>0</v>
      </c>
      <c r="G11" s="25"/>
      <c r="H11" s="26"/>
      <c r="I11" s="56">
        <v>0</v>
      </c>
      <c r="J11" s="57"/>
      <c r="K11" s="10">
        <v>0</v>
      </c>
      <c r="N11" t="s">
        <v>53</v>
      </c>
    </row>
    <row r="12" spans="1:14" ht="30.95" customHeight="1" x14ac:dyDescent="0.2">
      <c r="A12" s="52" t="s">
        <v>18</v>
      </c>
      <c r="B12" s="53"/>
      <c r="C12" s="54" t="s">
        <v>16</v>
      </c>
      <c r="D12" s="55"/>
      <c r="E12" s="8">
        <v>3</v>
      </c>
      <c r="F12" s="24">
        <v>0</v>
      </c>
      <c r="G12" s="25"/>
      <c r="H12" s="26"/>
      <c r="I12" s="56">
        <v>0</v>
      </c>
      <c r="J12" s="57"/>
      <c r="K12" s="10">
        <v>0</v>
      </c>
    </row>
    <row r="13" spans="1:14" ht="30.95" customHeight="1" x14ac:dyDescent="0.2">
      <c r="A13" s="52" t="s">
        <v>19</v>
      </c>
      <c r="B13" s="53"/>
      <c r="C13" s="54" t="s">
        <v>16</v>
      </c>
      <c r="D13" s="55"/>
      <c r="E13" s="8">
        <v>8</v>
      </c>
      <c r="F13" s="24">
        <v>0</v>
      </c>
      <c r="G13" s="25"/>
      <c r="H13" s="26"/>
      <c r="I13" s="56">
        <v>0</v>
      </c>
      <c r="J13" s="57"/>
      <c r="K13" s="10">
        <v>0</v>
      </c>
      <c r="M13" s="13"/>
    </row>
    <row r="14" spans="1:14" ht="30.95" customHeight="1" x14ac:dyDescent="0.2">
      <c r="A14" s="52" t="s">
        <v>20</v>
      </c>
      <c r="B14" s="53"/>
      <c r="C14" s="54" t="s">
        <v>16</v>
      </c>
      <c r="D14" s="55"/>
      <c r="E14" s="8">
        <v>14</v>
      </c>
      <c r="F14" s="24">
        <v>0</v>
      </c>
      <c r="G14" s="25"/>
      <c r="H14" s="26"/>
      <c r="I14" s="56">
        <v>0</v>
      </c>
      <c r="J14" s="57"/>
      <c r="K14" s="10">
        <v>0</v>
      </c>
    </row>
    <row r="15" spans="1:14" ht="30.95" customHeight="1" x14ac:dyDescent="0.2">
      <c r="A15" s="52" t="s">
        <v>21</v>
      </c>
      <c r="B15" s="53"/>
      <c r="C15" s="54" t="s">
        <v>16</v>
      </c>
      <c r="D15" s="55"/>
      <c r="E15" s="8">
        <v>18</v>
      </c>
      <c r="F15" s="24">
        <v>0</v>
      </c>
      <c r="G15" s="25"/>
      <c r="H15" s="26"/>
      <c r="I15" s="56">
        <v>0</v>
      </c>
      <c r="J15" s="57"/>
      <c r="K15" s="9">
        <v>0</v>
      </c>
    </row>
    <row r="16" spans="1:14" ht="20.100000000000001" customHeight="1" x14ac:dyDescent="0.2">
      <c r="A16" s="67" t="s">
        <v>61</v>
      </c>
      <c r="B16" s="68"/>
      <c r="C16" s="54" t="s">
        <v>16</v>
      </c>
      <c r="D16" s="55"/>
      <c r="E16" s="8">
        <v>23</v>
      </c>
      <c r="F16" s="24">
        <v>0</v>
      </c>
      <c r="G16" s="25"/>
      <c r="H16" s="26"/>
      <c r="I16" s="56">
        <f t="shared" ref="I16:J16" si="1">SUM(I17:I19)</f>
        <v>0</v>
      </c>
      <c r="J16" s="57">
        <f t="shared" si="1"/>
        <v>0</v>
      </c>
      <c r="K16" s="18">
        <f>SUM(K17:K19)</f>
        <v>0</v>
      </c>
    </row>
    <row r="17" spans="1:14" ht="20.100000000000001" customHeight="1" x14ac:dyDescent="0.2">
      <c r="A17" s="41" t="s">
        <v>22</v>
      </c>
      <c r="B17" s="42"/>
      <c r="C17" s="54" t="s">
        <v>16</v>
      </c>
      <c r="D17" s="55"/>
      <c r="E17" s="8">
        <v>24</v>
      </c>
      <c r="F17" s="24">
        <v>0</v>
      </c>
      <c r="G17" s="25"/>
      <c r="H17" s="26"/>
      <c r="I17" s="56">
        <v>0</v>
      </c>
      <c r="J17" s="57"/>
      <c r="K17" s="10">
        <v>0</v>
      </c>
    </row>
    <row r="18" spans="1:14" ht="20.100000000000001" customHeight="1" x14ac:dyDescent="0.2">
      <c r="A18" s="41" t="s">
        <v>23</v>
      </c>
      <c r="B18" s="42"/>
      <c r="C18" s="54" t="s">
        <v>16</v>
      </c>
      <c r="D18" s="55"/>
      <c r="E18" s="8">
        <v>28</v>
      </c>
      <c r="F18" s="24">
        <v>0</v>
      </c>
      <c r="G18" s="25"/>
      <c r="H18" s="26"/>
      <c r="I18" s="56">
        <v>0</v>
      </c>
      <c r="J18" s="57"/>
      <c r="K18" s="10">
        <v>0</v>
      </c>
    </row>
    <row r="19" spans="1:14" ht="20.100000000000001" customHeight="1" x14ac:dyDescent="0.2">
      <c r="A19" s="41" t="s">
        <v>24</v>
      </c>
      <c r="B19" s="42"/>
      <c r="C19" s="54" t="s">
        <v>16</v>
      </c>
      <c r="D19" s="55"/>
      <c r="E19" s="8">
        <v>38</v>
      </c>
      <c r="F19" s="24">
        <v>0</v>
      </c>
      <c r="G19" s="25"/>
      <c r="H19" s="26"/>
      <c r="I19" s="56">
        <v>0</v>
      </c>
      <c r="J19" s="57"/>
      <c r="K19" s="9">
        <v>0</v>
      </c>
    </row>
    <row r="20" spans="1:14" ht="20.100000000000001" customHeight="1" x14ac:dyDescent="0.2">
      <c r="A20" s="43" t="s">
        <v>62</v>
      </c>
      <c r="B20" s="44"/>
      <c r="C20" s="54" t="s">
        <v>16</v>
      </c>
      <c r="D20" s="55"/>
      <c r="E20" s="8">
        <v>56</v>
      </c>
      <c r="F20" s="24">
        <v>0</v>
      </c>
      <c r="G20" s="25"/>
      <c r="H20" s="26"/>
      <c r="I20" s="56">
        <f t="shared" ref="I20:J20" si="2">I21-I22</f>
        <v>0</v>
      </c>
      <c r="J20" s="57">
        <f t="shared" si="2"/>
        <v>0</v>
      </c>
      <c r="K20" s="16">
        <f>K21-K22</f>
        <v>0</v>
      </c>
    </row>
    <row r="21" spans="1:14" ht="20.100000000000001" customHeight="1" x14ac:dyDescent="0.2">
      <c r="A21" s="41" t="s">
        <v>25</v>
      </c>
      <c r="B21" s="42"/>
      <c r="C21" s="54" t="s">
        <v>16</v>
      </c>
      <c r="D21" s="55"/>
      <c r="E21" s="8">
        <v>57</v>
      </c>
      <c r="F21" s="24">
        <v>0</v>
      </c>
      <c r="G21" s="25"/>
      <c r="H21" s="26"/>
      <c r="I21" s="56">
        <v>0</v>
      </c>
      <c r="J21" s="57"/>
      <c r="K21" s="10">
        <v>0</v>
      </c>
      <c r="M21" s="13"/>
    </row>
    <row r="22" spans="1:14" ht="30.95" customHeight="1" x14ac:dyDescent="0.2">
      <c r="A22" s="52" t="s">
        <v>26</v>
      </c>
      <c r="B22" s="53"/>
      <c r="C22" s="54" t="s">
        <v>16</v>
      </c>
      <c r="D22" s="55"/>
      <c r="E22" s="8">
        <v>58</v>
      </c>
      <c r="F22" s="24">
        <v>0</v>
      </c>
      <c r="G22" s="25"/>
      <c r="H22" s="26"/>
      <c r="I22" s="56">
        <v>0</v>
      </c>
      <c r="J22" s="57"/>
      <c r="K22" s="10">
        <v>0</v>
      </c>
    </row>
    <row r="23" spans="1:14" ht="20.100000000000001" customHeight="1" x14ac:dyDescent="0.2">
      <c r="A23" s="41" t="s">
        <v>27</v>
      </c>
      <c r="B23" s="42"/>
      <c r="C23" s="54" t="s">
        <v>16</v>
      </c>
      <c r="D23" s="55"/>
      <c r="E23" s="8">
        <v>69</v>
      </c>
      <c r="F23" s="24">
        <v>0</v>
      </c>
      <c r="G23" s="25"/>
      <c r="H23" s="26"/>
      <c r="I23" s="56">
        <v>0</v>
      </c>
      <c r="J23" s="57"/>
      <c r="K23" s="9">
        <v>0</v>
      </c>
    </row>
    <row r="24" spans="1:14" ht="30.95" customHeight="1" x14ac:dyDescent="0.2">
      <c r="A24" s="52" t="s">
        <v>28</v>
      </c>
      <c r="B24" s="53"/>
      <c r="C24" s="54" t="s">
        <v>16</v>
      </c>
      <c r="D24" s="55"/>
      <c r="E24" s="8">
        <v>73</v>
      </c>
      <c r="F24" s="24">
        <v>0</v>
      </c>
      <c r="G24" s="25"/>
      <c r="H24" s="26"/>
      <c r="I24" s="56">
        <v>0</v>
      </c>
      <c r="J24" s="57"/>
      <c r="K24" s="9">
        <v>0</v>
      </c>
    </row>
    <row r="25" spans="1:14" ht="20.100000000000001" customHeight="1" x14ac:dyDescent="0.2">
      <c r="A25" s="41" t="s">
        <v>29</v>
      </c>
      <c r="B25" s="42"/>
      <c r="C25" s="54" t="s">
        <v>16</v>
      </c>
      <c r="D25" s="55"/>
      <c r="E25" s="8">
        <v>74</v>
      </c>
      <c r="F25" s="24">
        <v>0</v>
      </c>
      <c r="G25" s="25"/>
      <c r="H25" s="26"/>
      <c r="I25" s="56">
        <v>0</v>
      </c>
      <c r="J25" s="57"/>
      <c r="K25" s="9">
        <v>0</v>
      </c>
    </row>
    <row r="26" spans="1:14" ht="30.95" customHeight="1" x14ac:dyDescent="0.2">
      <c r="A26" s="52" t="s">
        <v>30</v>
      </c>
      <c r="B26" s="53"/>
      <c r="C26" s="54" t="s">
        <v>16</v>
      </c>
      <c r="D26" s="55"/>
      <c r="E26" s="8">
        <v>77</v>
      </c>
      <c r="F26" s="24">
        <v>0</v>
      </c>
      <c r="G26" s="25"/>
      <c r="H26" s="26"/>
      <c r="I26" s="56">
        <v>0</v>
      </c>
      <c r="J26" s="57"/>
      <c r="K26" s="9">
        <v>0</v>
      </c>
    </row>
    <row r="27" spans="1:14" ht="20.100000000000001" customHeight="1" x14ac:dyDescent="0.2">
      <c r="A27" s="43" t="s">
        <v>58</v>
      </c>
      <c r="B27" s="44"/>
      <c r="C27" s="54" t="s">
        <v>16</v>
      </c>
      <c r="D27" s="55"/>
      <c r="E27" s="8">
        <v>87</v>
      </c>
      <c r="F27" s="24">
        <v>0</v>
      </c>
      <c r="G27" s="25"/>
      <c r="H27" s="26"/>
      <c r="I27" s="56">
        <f t="shared" ref="I27:J27" si="3">I10+I20</f>
        <v>0</v>
      </c>
      <c r="J27" s="57">
        <f t="shared" si="3"/>
        <v>0</v>
      </c>
      <c r="K27" s="16">
        <f>K10+K20</f>
        <v>0</v>
      </c>
      <c r="M27" s="13"/>
      <c r="N27" s="13"/>
    </row>
    <row r="28" spans="1:14" ht="20.100000000000001" customHeight="1" x14ac:dyDescent="0.2">
      <c r="A28" s="49" t="s">
        <v>31</v>
      </c>
      <c r="B28" s="50"/>
      <c r="C28" s="50"/>
      <c r="D28" s="50"/>
      <c r="E28" s="50"/>
      <c r="F28" s="50"/>
      <c r="G28" s="50"/>
      <c r="H28" s="50"/>
      <c r="I28" s="50"/>
      <c r="J28" s="50"/>
      <c r="K28" s="51"/>
      <c r="M28" s="13"/>
    </row>
    <row r="29" spans="1:14" ht="20.100000000000001" customHeight="1" x14ac:dyDescent="0.2">
      <c r="A29" s="43" t="s">
        <v>54</v>
      </c>
      <c r="B29" s="44"/>
      <c r="C29" s="54" t="s">
        <v>16</v>
      </c>
      <c r="D29" s="55"/>
      <c r="E29" s="8">
        <v>88</v>
      </c>
      <c r="F29" s="24">
        <v>0</v>
      </c>
      <c r="G29" s="25"/>
      <c r="H29" s="26"/>
      <c r="I29" s="56">
        <v>0</v>
      </c>
      <c r="J29" s="57"/>
      <c r="K29" s="16">
        <f>SUM(K30:K36)</f>
        <v>0</v>
      </c>
    </row>
    <row r="30" spans="1:14" ht="30.95" customHeight="1" x14ac:dyDescent="0.2">
      <c r="A30" s="52" t="s">
        <v>32</v>
      </c>
      <c r="B30" s="53"/>
      <c r="C30" s="54" t="s">
        <v>16</v>
      </c>
      <c r="D30" s="55"/>
      <c r="E30" s="8">
        <v>91</v>
      </c>
      <c r="F30" s="24">
        <v>0</v>
      </c>
      <c r="G30" s="25"/>
      <c r="H30" s="26"/>
      <c r="I30" s="56">
        <v>0</v>
      </c>
      <c r="J30" s="57"/>
      <c r="K30" s="10">
        <v>0</v>
      </c>
    </row>
    <row r="31" spans="1:14" ht="30.95" customHeight="1" x14ac:dyDescent="0.2">
      <c r="A31" s="52" t="s">
        <v>33</v>
      </c>
      <c r="B31" s="53"/>
      <c r="C31" s="54" t="s">
        <v>16</v>
      </c>
      <c r="D31" s="55"/>
      <c r="E31" s="8">
        <v>93</v>
      </c>
      <c r="F31" s="24">
        <v>0</v>
      </c>
      <c r="G31" s="25"/>
      <c r="H31" s="26"/>
      <c r="I31" s="56">
        <v>0</v>
      </c>
      <c r="J31" s="57"/>
      <c r="K31" s="9">
        <v>0</v>
      </c>
    </row>
    <row r="32" spans="1:14" ht="30.95" customHeight="1" x14ac:dyDescent="0.2">
      <c r="A32" s="52" t="s">
        <v>34</v>
      </c>
      <c r="B32" s="53"/>
      <c r="C32" s="54" t="s">
        <v>16</v>
      </c>
      <c r="D32" s="55"/>
      <c r="E32" s="8">
        <v>100</v>
      </c>
      <c r="F32" s="24">
        <v>0</v>
      </c>
      <c r="G32" s="25"/>
      <c r="H32" s="26"/>
      <c r="I32" s="56">
        <v>0</v>
      </c>
      <c r="J32" s="57"/>
      <c r="K32" s="10">
        <v>0</v>
      </c>
    </row>
    <row r="33" spans="1:17" ht="20.100000000000001" customHeight="1" x14ac:dyDescent="0.2">
      <c r="A33" s="41" t="s">
        <v>35</v>
      </c>
      <c r="B33" s="42"/>
      <c r="C33" s="54" t="s">
        <v>16</v>
      </c>
      <c r="D33" s="55"/>
      <c r="E33" s="8">
        <v>102</v>
      </c>
      <c r="F33" s="24">
        <v>0</v>
      </c>
      <c r="G33" s="25"/>
      <c r="H33" s="26"/>
      <c r="I33" s="56">
        <v>0</v>
      </c>
      <c r="J33" s="57"/>
      <c r="K33" s="10">
        <v>0</v>
      </c>
    </row>
    <row r="34" spans="1:17" ht="20.100000000000001" customHeight="1" x14ac:dyDescent="0.2">
      <c r="A34" s="41" t="s">
        <v>36</v>
      </c>
      <c r="B34" s="42"/>
      <c r="C34" s="54" t="s">
        <v>16</v>
      </c>
      <c r="D34" s="55"/>
      <c r="E34" s="8">
        <v>105</v>
      </c>
      <c r="F34" s="24">
        <v>0</v>
      </c>
      <c r="G34" s="25"/>
      <c r="H34" s="26"/>
      <c r="I34" s="56">
        <v>0</v>
      </c>
      <c r="J34" s="57"/>
      <c r="K34" s="10">
        <v>0</v>
      </c>
    </row>
    <row r="35" spans="1:17" ht="20.100000000000001" customHeight="1" x14ac:dyDescent="0.2">
      <c r="A35" s="41" t="s">
        <v>37</v>
      </c>
      <c r="B35" s="42"/>
      <c r="C35" s="54" t="s">
        <v>16</v>
      </c>
      <c r="D35" s="55"/>
      <c r="E35" s="8">
        <v>106</v>
      </c>
      <c r="F35" s="24">
        <v>0</v>
      </c>
      <c r="G35" s="25"/>
      <c r="H35" s="26"/>
      <c r="I35" s="24">
        <v>0</v>
      </c>
      <c r="J35" s="26"/>
      <c r="K35" s="10">
        <v>0</v>
      </c>
    </row>
    <row r="36" spans="1:17" ht="30.95" customHeight="1" x14ac:dyDescent="0.2">
      <c r="A36" s="52" t="s">
        <v>38</v>
      </c>
      <c r="B36" s="53"/>
      <c r="C36" s="54" t="s">
        <v>16</v>
      </c>
      <c r="D36" s="55"/>
      <c r="E36" s="8">
        <v>108</v>
      </c>
      <c r="F36" s="24">
        <v>0</v>
      </c>
      <c r="G36" s="25"/>
      <c r="H36" s="26"/>
      <c r="I36" s="56">
        <v>0</v>
      </c>
      <c r="J36" s="57"/>
      <c r="K36" s="10">
        <v>0</v>
      </c>
    </row>
    <row r="37" spans="1:17" ht="19.350000000000001" customHeight="1" x14ac:dyDescent="0.2">
      <c r="A37" s="58" t="s">
        <v>55</v>
      </c>
      <c r="B37" s="59"/>
      <c r="C37" s="60" t="s">
        <v>16</v>
      </c>
      <c r="D37" s="61"/>
      <c r="E37" s="11">
        <v>121</v>
      </c>
      <c r="F37" s="62">
        <v>0</v>
      </c>
      <c r="G37" s="63"/>
      <c r="H37" s="64"/>
      <c r="I37" s="65">
        <v>0</v>
      </c>
      <c r="J37" s="66"/>
      <c r="K37" s="17">
        <f>K39</f>
        <v>0</v>
      </c>
    </row>
    <row r="38" spans="1:17" ht="0.95" customHeight="1" x14ac:dyDescent="0.2">
      <c r="I38">
        <v>0</v>
      </c>
    </row>
    <row r="39" spans="1:17" ht="20.100000000000001" customHeight="1" x14ac:dyDescent="0.2">
      <c r="A39" s="41" t="s">
        <v>39</v>
      </c>
      <c r="B39" s="42"/>
      <c r="C39" s="22" t="s">
        <v>16</v>
      </c>
      <c r="D39" s="23"/>
      <c r="E39" s="12">
        <v>123</v>
      </c>
      <c r="F39" s="24">
        <v>0</v>
      </c>
      <c r="G39" s="25"/>
      <c r="H39" s="26"/>
      <c r="I39" s="45">
        <v>0</v>
      </c>
      <c r="J39" s="46"/>
      <c r="K39" s="10">
        <v>0</v>
      </c>
    </row>
    <row r="40" spans="1:17" ht="20.100000000000001" customHeight="1" x14ac:dyDescent="0.2">
      <c r="A40" s="43" t="s">
        <v>59</v>
      </c>
      <c r="B40" s="44"/>
      <c r="C40" s="22" t="s">
        <v>16</v>
      </c>
      <c r="D40" s="23"/>
      <c r="E40" s="12">
        <v>127</v>
      </c>
      <c r="F40" s="24">
        <v>0</v>
      </c>
      <c r="G40" s="25"/>
      <c r="H40" s="26"/>
      <c r="I40" s="27">
        <v>0</v>
      </c>
      <c r="J40" s="28"/>
      <c r="K40" s="16">
        <f>K29+K37</f>
        <v>0</v>
      </c>
    </row>
    <row r="41" spans="1:17" ht="20.100000000000001" customHeight="1" x14ac:dyDescent="0.2">
      <c r="A41" s="49" t="s">
        <v>40</v>
      </c>
      <c r="B41" s="50"/>
      <c r="C41" s="50"/>
      <c r="D41" s="50"/>
      <c r="E41" s="50"/>
      <c r="F41" s="50"/>
      <c r="G41" s="50"/>
      <c r="H41" s="50"/>
      <c r="I41" s="50"/>
      <c r="J41" s="50"/>
      <c r="K41" s="51"/>
    </row>
    <row r="42" spans="1:17" ht="30.95" customHeight="1" x14ac:dyDescent="0.2">
      <c r="A42" s="52" t="s">
        <v>41</v>
      </c>
      <c r="B42" s="53"/>
      <c r="C42" s="22" t="s">
        <v>16</v>
      </c>
      <c r="D42" s="23"/>
      <c r="E42" s="12">
        <v>128</v>
      </c>
      <c r="F42" s="24">
        <v>0</v>
      </c>
      <c r="G42" s="25"/>
      <c r="H42" s="26"/>
      <c r="I42" s="45">
        <v>0</v>
      </c>
      <c r="J42" s="46"/>
      <c r="K42" s="10">
        <v>0</v>
      </c>
      <c r="N42" s="13"/>
      <c r="O42" s="13"/>
      <c r="P42" s="13"/>
      <c r="Q42" s="13"/>
    </row>
    <row r="43" spans="1:17" ht="20.100000000000001" customHeight="1" x14ac:dyDescent="0.2">
      <c r="A43" s="41" t="s">
        <v>42</v>
      </c>
      <c r="B43" s="42"/>
      <c r="C43" s="22" t="s">
        <v>16</v>
      </c>
      <c r="D43" s="23"/>
      <c r="E43" s="12">
        <v>136</v>
      </c>
      <c r="F43" s="24">
        <v>0</v>
      </c>
      <c r="G43" s="25"/>
      <c r="H43" s="26"/>
      <c r="I43" s="47">
        <v>0</v>
      </c>
      <c r="J43" s="48"/>
      <c r="K43" s="10">
        <v>0</v>
      </c>
      <c r="M43" s="13"/>
      <c r="N43" s="14"/>
      <c r="O43" s="14"/>
      <c r="P43" s="14"/>
      <c r="Q43" s="14"/>
    </row>
    <row r="44" spans="1:17" ht="20.100000000000001" customHeight="1" x14ac:dyDescent="0.2">
      <c r="A44" s="41" t="s">
        <v>43</v>
      </c>
      <c r="B44" s="42"/>
      <c r="C44" s="22" t="s">
        <v>16</v>
      </c>
      <c r="D44" s="23"/>
      <c r="E44" s="12">
        <v>137</v>
      </c>
      <c r="F44" s="24">
        <v>0</v>
      </c>
      <c r="G44" s="25"/>
      <c r="H44" s="26"/>
      <c r="I44" s="47">
        <v>0</v>
      </c>
      <c r="J44" s="48"/>
      <c r="K44" s="10">
        <v>0</v>
      </c>
      <c r="P44" s="15"/>
    </row>
    <row r="45" spans="1:17" ht="20.100000000000001" customHeight="1" x14ac:dyDescent="0.2">
      <c r="A45" s="41" t="s">
        <v>44</v>
      </c>
      <c r="B45" s="42"/>
      <c r="C45" s="22" t="s">
        <v>16</v>
      </c>
      <c r="D45" s="23"/>
      <c r="E45" s="12">
        <v>142</v>
      </c>
      <c r="F45" s="24">
        <v>0</v>
      </c>
      <c r="G45" s="25"/>
      <c r="H45" s="26"/>
      <c r="I45" s="24">
        <v>0</v>
      </c>
      <c r="J45" s="26"/>
      <c r="K45" s="10">
        <v>0</v>
      </c>
      <c r="P45" s="13"/>
    </row>
    <row r="46" spans="1:17" ht="20.100000000000001" customHeight="1" x14ac:dyDescent="0.2">
      <c r="A46" s="41" t="s">
        <v>45</v>
      </c>
      <c r="B46" s="42"/>
      <c r="C46" s="22" t="s">
        <v>16</v>
      </c>
      <c r="D46" s="23"/>
      <c r="E46" s="12">
        <v>143</v>
      </c>
      <c r="F46" s="24">
        <v>0</v>
      </c>
      <c r="G46" s="25"/>
      <c r="H46" s="26"/>
      <c r="I46" s="24">
        <v>0</v>
      </c>
      <c r="J46" s="26"/>
      <c r="K46" s="10">
        <v>0</v>
      </c>
      <c r="P46" s="15"/>
    </row>
    <row r="47" spans="1:17" ht="20.100000000000001" customHeight="1" x14ac:dyDescent="0.2">
      <c r="A47" s="41" t="s">
        <v>46</v>
      </c>
      <c r="B47" s="42"/>
      <c r="C47" s="22" t="s">
        <v>16</v>
      </c>
      <c r="D47" s="23"/>
      <c r="E47" s="12">
        <v>149</v>
      </c>
      <c r="F47" s="24">
        <v>0</v>
      </c>
      <c r="G47" s="25"/>
      <c r="H47" s="26"/>
      <c r="I47" s="24">
        <v>0</v>
      </c>
      <c r="J47" s="26"/>
      <c r="K47" s="10">
        <v>0</v>
      </c>
      <c r="M47" s="13"/>
      <c r="O47" s="13"/>
    </row>
    <row r="48" spans="1:17" ht="20.100000000000001" customHeight="1" x14ac:dyDescent="0.2">
      <c r="A48" s="43" t="s">
        <v>56</v>
      </c>
      <c r="B48" s="44"/>
      <c r="C48" s="22" t="s">
        <v>16</v>
      </c>
      <c r="D48" s="23"/>
      <c r="E48" s="12">
        <v>150</v>
      </c>
      <c r="F48" s="24">
        <v>0</v>
      </c>
      <c r="G48" s="25"/>
      <c r="H48" s="26"/>
      <c r="I48" s="45">
        <v>0</v>
      </c>
      <c r="J48" s="46"/>
      <c r="K48" s="16">
        <f>SUM(K42:K47)</f>
        <v>0</v>
      </c>
    </row>
    <row r="49" spans="1:13" ht="30.6" customHeight="1" x14ac:dyDescent="0.2">
      <c r="A49" s="20" t="s">
        <v>57</v>
      </c>
      <c r="B49" s="21"/>
      <c r="C49" s="22" t="s">
        <v>16</v>
      </c>
      <c r="D49" s="23"/>
      <c r="E49" s="12">
        <v>151</v>
      </c>
      <c r="F49" s="24">
        <v>0</v>
      </c>
      <c r="G49" s="25"/>
      <c r="H49" s="26"/>
      <c r="I49" s="27">
        <v>0</v>
      </c>
      <c r="J49" s="28"/>
      <c r="K49" s="16">
        <f>K40+K48</f>
        <v>0</v>
      </c>
      <c r="M49" s="13">
        <f>K49-K27</f>
        <v>0</v>
      </c>
    </row>
    <row r="50" spans="1:13" ht="6.75" customHeight="1" x14ac:dyDescent="0.2">
      <c r="A50" s="19"/>
      <c r="B50" s="19"/>
      <c r="C50" s="3"/>
      <c r="D50" s="3"/>
      <c r="E50" s="3"/>
      <c r="F50" s="19"/>
      <c r="G50" s="19"/>
      <c r="H50" s="19"/>
      <c r="I50" s="3"/>
      <c r="J50" s="3"/>
      <c r="K50" s="3"/>
    </row>
    <row r="51" spans="1:13" ht="33.950000000000003" customHeight="1" x14ac:dyDescent="0.2">
      <c r="A51" s="29" t="s">
        <v>47</v>
      </c>
      <c r="B51" s="30"/>
      <c r="C51" s="30"/>
      <c r="D51" s="30"/>
      <c r="E51" s="30"/>
      <c r="F51" s="30"/>
      <c r="G51" s="30"/>
      <c r="H51" s="30"/>
      <c r="I51" s="30"/>
      <c r="J51" s="30"/>
      <c r="K51" s="31"/>
    </row>
    <row r="52" spans="1:13" ht="29.1" customHeight="1" x14ac:dyDescent="0.2">
      <c r="A52" s="32" t="s">
        <v>48</v>
      </c>
      <c r="B52" s="33"/>
      <c r="C52" s="34"/>
      <c r="D52" s="32" t="s">
        <v>49</v>
      </c>
      <c r="E52" s="33"/>
      <c r="F52" s="33"/>
      <c r="G52" s="33"/>
      <c r="H52" s="33"/>
      <c r="I52" s="34"/>
      <c r="J52" s="35" t="s">
        <v>64</v>
      </c>
      <c r="K52" s="36"/>
    </row>
    <row r="53" spans="1:13" ht="27.95" customHeight="1" x14ac:dyDescent="0.2">
      <c r="A53" s="32" t="s">
        <v>63</v>
      </c>
      <c r="B53" s="33"/>
      <c r="C53" s="34"/>
      <c r="D53" s="32" t="s">
        <v>65</v>
      </c>
      <c r="E53" s="33"/>
      <c r="F53" s="33"/>
      <c r="G53" s="33"/>
      <c r="H53" s="33"/>
      <c r="I53" s="34"/>
      <c r="J53" s="37"/>
      <c r="K53" s="38"/>
    </row>
    <row r="54" spans="1:13" ht="28.35" customHeight="1" x14ac:dyDescent="0.2">
      <c r="A54" s="32" t="s">
        <v>50</v>
      </c>
      <c r="B54" s="33"/>
      <c r="C54" s="34"/>
      <c r="D54" s="32" t="s">
        <v>50</v>
      </c>
      <c r="E54" s="33"/>
      <c r="F54" s="33"/>
      <c r="G54" s="33"/>
      <c r="H54" s="33"/>
      <c r="I54" s="34"/>
      <c r="J54" s="39"/>
      <c r="K54" s="40"/>
    </row>
    <row r="55" spans="1:13" ht="130.5" customHeight="1" x14ac:dyDescent="0.2">
      <c r="A55" s="19" t="s">
        <v>51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</row>
  </sheetData>
  <mergeCells count="184">
    <mergeCell ref="A1:D1"/>
    <mergeCell ref="E1:G1"/>
    <mergeCell ref="H1:K1"/>
    <mergeCell ref="A2:D2"/>
    <mergeCell ref="E2:G2"/>
    <mergeCell ref="H2:K2"/>
    <mergeCell ref="A3:F3"/>
    <mergeCell ref="G3:K3"/>
    <mergeCell ref="B4:D4"/>
    <mergeCell ref="E4:F4"/>
    <mergeCell ref="H4:K4"/>
    <mergeCell ref="C5:D5"/>
    <mergeCell ref="I5:J5"/>
    <mergeCell ref="A6:K6"/>
    <mergeCell ref="A7:B7"/>
    <mergeCell ref="C7:D7"/>
    <mergeCell ref="F7:H7"/>
    <mergeCell ref="I7:J7"/>
    <mergeCell ref="A8:B8"/>
    <mergeCell ref="C8:D8"/>
    <mergeCell ref="F8:H8"/>
    <mergeCell ref="I8:J8"/>
    <mergeCell ref="A9:K9"/>
    <mergeCell ref="A10:B10"/>
    <mergeCell ref="C10:D10"/>
    <mergeCell ref="F10:H10"/>
    <mergeCell ref="I10:J10"/>
    <mergeCell ref="A11:B11"/>
    <mergeCell ref="C11:D11"/>
    <mergeCell ref="F11:H11"/>
    <mergeCell ref="I11:J11"/>
    <mergeCell ref="A12:B12"/>
    <mergeCell ref="C12:D12"/>
    <mergeCell ref="F12:H12"/>
    <mergeCell ref="I12:J12"/>
    <mergeCell ref="A13:B13"/>
    <mergeCell ref="C13:D13"/>
    <mergeCell ref="F13:H13"/>
    <mergeCell ref="I13:J13"/>
    <mergeCell ref="A14:B14"/>
    <mergeCell ref="C14:D14"/>
    <mergeCell ref="F14:H14"/>
    <mergeCell ref="I14:J14"/>
    <mergeCell ref="A15:B15"/>
    <mergeCell ref="C15:D15"/>
    <mergeCell ref="F15:H15"/>
    <mergeCell ref="I15:J15"/>
    <mergeCell ref="A16:B16"/>
    <mergeCell ref="C16:D16"/>
    <mergeCell ref="F16:H16"/>
    <mergeCell ref="I16:J16"/>
    <mergeCell ref="A17:B17"/>
    <mergeCell ref="C17:D17"/>
    <mergeCell ref="F17:H17"/>
    <mergeCell ref="I17:J17"/>
    <mergeCell ref="A18:B18"/>
    <mergeCell ref="C18:D18"/>
    <mergeCell ref="F18:H18"/>
    <mergeCell ref="I18:J18"/>
    <mergeCell ref="A19:B19"/>
    <mergeCell ref="C19:D19"/>
    <mergeCell ref="F19:H19"/>
    <mergeCell ref="I19:J19"/>
    <mergeCell ref="A20:B20"/>
    <mergeCell ref="C20:D20"/>
    <mergeCell ref="F20:H20"/>
    <mergeCell ref="I20:J20"/>
    <mergeCell ref="A21:B21"/>
    <mergeCell ref="C21:D21"/>
    <mergeCell ref="F21:H21"/>
    <mergeCell ref="I21:J21"/>
    <mergeCell ref="A22:B22"/>
    <mergeCell ref="C22:D22"/>
    <mergeCell ref="F22:H22"/>
    <mergeCell ref="I22:J22"/>
    <mergeCell ref="A23:B23"/>
    <mergeCell ref="C23:D23"/>
    <mergeCell ref="F23:H23"/>
    <mergeCell ref="I23:J23"/>
    <mergeCell ref="A24:B24"/>
    <mergeCell ref="C24:D24"/>
    <mergeCell ref="F24:H24"/>
    <mergeCell ref="I24:J24"/>
    <mergeCell ref="A25:B25"/>
    <mergeCell ref="C25:D25"/>
    <mergeCell ref="F25:H25"/>
    <mergeCell ref="I25:J25"/>
    <mergeCell ref="A26:B26"/>
    <mergeCell ref="C26:D26"/>
    <mergeCell ref="F26:H26"/>
    <mergeCell ref="I26:J26"/>
    <mergeCell ref="A27:B27"/>
    <mergeCell ref="C27:D27"/>
    <mergeCell ref="F27:H27"/>
    <mergeCell ref="I27:J27"/>
    <mergeCell ref="A28:K28"/>
    <mergeCell ref="A29:B29"/>
    <mergeCell ref="C29:D29"/>
    <mergeCell ref="F29:H29"/>
    <mergeCell ref="I29:J29"/>
    <mergeCell ref="A30:B30"/>
    <mergeCell ref="C30:D30"/>
    <mergeCell ref="F30:H30"/>
    <mergeCell ref="I30:J30"/>
    <mergeCell ref="A31:B31"/>
    <mergeCell ref="C31:D31"/>
    <mergeCell ref="F31:H31"/>
    <mergeCell ref="I31:J31"/>
    <mergeCell ref="A32:B32"/>
    <mergeCell ref="C32:D32"/>
    <mergeCell ref="F32:H32"/>
    <mergeCell ref="I32:J32"/>
    <mergeCell ref="A33:B33"/>
    <mergeCell ref="C33:D33"/>
    <mergeCell ref="F33:H33"/>
    <mergeCell ref="I33:J33"/>
    <mergeCell ref="A34:B34"/>
    <mergeCell ref="C34:D34"/>
    <mergeCell ref="F34:H34"/>
    <mergeCell ref="I34:J34"/>
    <mergeCell ref="A35:B35"/>
    <mergeCell ref="C35:D35"/>
    <mergeCell ref="F35:H35"/>
    <mergeCell ref="I35:J35"/>
    <mergeCell ref="A36:B36"/>
    <mergeCell ref="C36:D36"/>
    <mergeCell ref="F36:H36"/>
    <mergeCell ref="I36:J36"/>
    <mergeCell ref="A37:B37"/>
    <mergeCell ref="C37:D37"/>
    <mergeCell ref="F37:H37"/>
    <mergeCell ref="I37:J37"/>
    <mergeCell ref="A39:B39"/>
    <mergeCell ref="C39:D39"/>
    <mergeCell ref="F39:H39"/>
    <mergeCell ref="I39:J39"/>
    <mergeCell ref="A40:B40"/>
    <mergeCell ref="C40:D40"/>
    <mergeCell ref="F40:H40"/>
    <mergeCell ref="I40:J40"/>
    <mergeCell ref="A41:K41"/>
    <mergeCell ref="A42:B42"/>
    <mergeCell ref="C42:D42"/>
    <mergeCell ref="F42:H42"/>
    <mergeCell ref="I42:J42"/>
    <mergeCell ref="A43:B43"/>
    <mergeCell ref="C43:D43"/>
    <mergeCell ref="F43:H43"/>
    <mergeCell ref="I43:J43"/>
    <mergeCell ref="A44:B44"/>
    <mergeCell ref="C44:D44"/>
    <mergeCell ref="F44:H44"/>
    <mergeCell ref="I44:J44"/>
    <mergeCell ref="A45:B45"/>
    <mergeCell ref="C45:D45"/>
    <mergeCell ref="F45:H45"/>
    <mergeCell ref="I45:J45"/>
    <mergeCell ref="A46:B46"/>
    <mergeCell ref="C46:D46"/>
    <mergeCell ref="F46:H46"/>
    <mergeCell ref="I46:J46"/>
    <mergeCell ref="A47:B47"/>
    <mergeCell ref="C47:D47"/>
    <mergeCell ref="F47:H47"/>
    <mergeCell ref="I47:J47"/>
    <mergeCell ref="A48:B48"/>
    <mergeCell ref="C48:D48"/>
    <mergeCell ref="F48:H48"/>
    <mergeCell ref="I48:J48"/>
    <mergeCell ref="A55:L55"/>
    <mergeCell ref="A49:B49"/>
    <mergeCell ref="C49:D49"/>
    <mergeCell ref="F49:H49"/>
    <mergeCell ref="I49:J49"/>
    <mergeCell ref="A50:B50"/>
    <mergeCell ref="F50:H50"/>
    <mergeCell ref="A51:K51"/>
    <mergeCell ref="A52:C52"/>
    <mergeCell ref="D52:I52"/>
    <mergeCell ref="J52:K54"/>
    <mergeCell ref="A53:C53"/>
    <mergeCell ref="D53:I53"/>
    <mergeCell ref="A54:C54"/>
    <mergeCell ref="D54:I54"/>
  </mergeCells>
  <printOptions horizontalCentered="1"/>
  <pageMargins left="0" right="0" top="0.74803149606299213" bottom="0.74803149606299213" header="0.31496062992125984" footer="0.31496062992125984"/>
  <pageSetup scale="86" orientation="portrait" r:id="rId1"/>
  <rowBreaks count="1" manualBreakCount="1">
    <brk id="27" max="1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1</vt:lpstr>
      <vt:lpstr>'Table 1'!Print_Area</vt:lpstr>
      <vt:lpstr>'Table 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nathaniel nathan</cp:lastModifiedBy>
  <cp:lastPrinted>2025-03-01T00:14:57Z</cp:lastPrinted>
  <dcterms:created xsi:type="dcterms:W3CDTF">2025-01-17T19:49:51Z</dcterms:created>
  <dcterms:modified xsi:type="dcterms:W3CDTF">2026-04-14T15:14:43Z</dcterms:modified>
</cp:coreProperties>
</file>